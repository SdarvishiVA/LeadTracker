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inaDarvishi\Box\VA Capital - Marketing\Marketing Content - Suzana\Lead Tracker\"/>
    </mc:Choice>
  </mc:AlternateContent>
  <xr:revisionPtr revIDLastSave="0" documentId="13_ncr:1_{EE95E62A-9713-42C0-8F6E-6E9E268EEAA3}" xr6:coauthVersionLast="47" xr6:coauthVersionMax="47" xr10:uidLastSave="{00000000-0000-0000-0000-000000000000}"/>
  <bookViews>
    <workbookView xWindow="2895" yWindow="1260" windowWidth="19665" windowHeight="13350" tabRatio="500" xr2:uid="{00000000-000D-0000-FFFF-FFFF00000000}"/>
  </bookViews>
  <sheets>
    <sheet name="Lead Log" sheetId="1" r:id="rId1"/>
    <sheet name="Weekly 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2" l="1"/>
  <c r="C12" i="2"/>
  <c r="B12" i="2"/>
  <c r="C11" i="2"/>
  <c r="C8" i="2"/>
  <c r="B8" i="2"/>
  <c r="C7" i="2"/>
  <c r="B7" i="2"/>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E12" i="2" l="1"/>
  <c r="D12" i="2"/>
  <c r="E11" i="2"/>
  <c r="E8" i="2"/>
  <c r="D8" i="2"/>
  <c r="D7" i="2"/>
  <c r="E7" i="2"/>
  <c r="C13" i="2"/>
  <c r="C9" i="2"/>
  <c r="B9" i="2"/>
  <c r="C6" i="2"/>
  <c r="B11" i="2"/>
  <c r="D11" i="2" s="1"/>
  <c r="B6" i="2"/>
  <c r="C10" i="2"/>
  <c r="C5" i="2"/>
  <c r="B10" i="2"/>
  <c r="B5" i="2"/>
  <c r="D13" i="2" l="1"/>
  <c r="E13" i="2"/>
  <c r="D9" i="2"/>
  <c r="E9" i="2"/>
  <c r="D6" i="2"/>
  <c r="E6" i="2"/>
  <c r="E10" i="2"/>
  <c r="D10" i="2"/>
  <c r="E5" i="2"/>
  <c r="D5" i="2"/>
</calcChain>
</file>

<file path=xl/sharedStrings.xml><?xml version="1.0" encoding="utf-8"?>
<sst xmlns="http://schemas.openxmlformats.org/spreadsheetml/2006/main" count="1026" uniqueCount="549">
  <si>
    <t>Week Of</t>
  </si>
  <si>
    <t>Date</t>
  </si>
  <si>
    <t>Lead Name</t>
  </si>
  <si>
    <t>Phone</t>
  </si>
  <si>
    <t>Company</t>
  </si>
  <si>
    <t>Prospect Type</t>
  </si>
  <si>
    <t>Source of Lead</t>
  </si>
  <si>
    <t>Campaign</t>
  </si>
  <si>
    <t>Lead ID</t>
  </si>
  <si>
    <t>Source of Referral</t>
  </si>
  <si>
    <t>Responded?</t>
  </si>
  <si>
    <t>Qualified?</t>
  </si>
  <si>
    <t>Reason Not Qualified</t>
  </si>
  <si>
    <t>Next Follow-up</t>
  </si>
  <si>
    <t>Notes</t>
  </si>
  <si>
    <t>Habitations Durand</t>
  </si>
  <si>
    <t>Developer</t>
  </si>
  <si>
    <t>Past Client/Contact</t>
  </si>
  <si>
    <t>No</t>
  </si>
  <si>
    <t>Bought land in St-Brigitte-de-Iberville from Ben Bouchard a prospecy; tried to reach, no answer.</t>
  </si>
  <si>
    <t>Kitan Joshi</t>
  </si>
  <si>
    <t>BMO</t>
  </si>
  <si>
    <t>Banker</t>
  </si>
  <si>
    <t>COI Referral</t>
  </si>
  <si>
    <t>BMO: Karen Amar</t>
  </si>
  <si>
    <t>Yes</t>
  </si>
  <si>
    <t>COI; (OOTL).</t>
  </si>
  <si>
    <t>Julia Huynh</t>
  </si>
  <si>
    <t>National Bank RE team</t>
  </si>
  <si>
    <t>VP Associate, Real Estate Development Group.</t>
  </si>
  <si>
    <t>Claudia Di Renzo</t>
  </si>
  <si>
    <t>Real Estate Broker</t>
  </si>
  <si>
    <t>Property Listing</t>
  </si>
  <si>
    <t>Listed a 16-plex at 3175 Rue de Mont-Royal, Longueuil (Saint-Hubert). Already has a UW but open to exchanging coordinates.</t>
  </si>
  <si>
    <t>Anthony Kyriacou</t>
  </si>
  <si>
    <t>BDC</t>
  </si>
  <si>
    <t xml:space="preserve">Has a client wanting to finance the 3600 St-Laurent building Odi old deal apparently client doesn’t want broker according to Odi </t>
  </si>
  <si>
    <t xml:space="preserve">Ariane Beaudry </t>
  </si>
  <si>
    <t>GRH</t>
  </si>
  <si>
    <t>Other</t>
  </si>
  <si>
    <t>Appraiser Muliti Res</t>
  </si>
  <si>
    <t>Francis Lebel</t>
  </si>
  <si>
    <t>Investissement LeBel et Ouellet Inc.</t>
  </si>
  <si>
    <t>Investor</t>
  </si>
  <si>
    <t>Cold Outreach</t>
  </si>
  <si>
    <t>Will send his 24-plex in Sainte-Anne-des-Plaines + 7x7 in Saint-Jerome.</t>
  </si>
  <si>
    <t>Roberto Bellini</t>
  </si>
  <si>
    <t>LinkedIn</t>
  </si>
  <si>
    <t xml:space="preserve">Jeremie </t>
  </si>
  <si>
    <t>438-490-1536</t>
  </si>
  <si>
    <t>NXNE Capital</t>
  </si>
  <si>
    <t>Has a property for sale at 3462 Jeanne-Mance, Plateau-Mont-Royal O. 438 490-1536, also becoming a broker with his wife agreed to meet</t>
  </si>
  <si>
    <t>Anna D.</t>
  </si>
  <si>
    <t>Reached out on IG; emailed her as follow-up.</t>
  </si>
  <si>
    <t>Ben Bouchard</t>
  </si>
  <si>
    <t>RBC Deelvens team</t>
  </si>
  <si>
    <t>Sold land to Habitations Durand; wants to buy the building he's renting in. benbouchard007@gmail.com</t>
  </si>
  <si>
    <t>Sander Boelen</t>
  </si>
  <si>
    <t>Allegiant</t>
  </si>
  <si>
    <t>Alfredo Cosentino</t>
  </si>
  <si>
    <t>OOTL; referred from a COI initial call</t>
  </si>
  <si>
    <t>Karl Robert</t>
  </si>
  <si>
    <t>Property for sale at 750 Dupre, Beloeil. Willing to do a teaser. karl@karlrobert.com.</t>
  </si>
  <si>
    <t>Shawn Giannone</t>
  </si>
  <si>
    <t>Michael Martela</t>
  </si>
  <si>
    <t>[1280 Douglas ] Operational broker; referred the Guzzo deal.</t>
  </si>
  <si>
    <t>Mohamed Serraji</t>
  </si>
  <si>
    <t>Wants to buy a 6-plex.</t>
  </si>
  <si>
    <t>Kokulan Chandren</t>
  </si>
  <si>
    <t xml:space="preserve">Refered me stuff in the past didn’t close. </t>
  </si>
  <si>
    <t>Joshua Bobrove</t>
  </si>
  <si>
    <t>Property for sale at 4120 Boul. des Grandes-Prairies.</t>
  </si>
  <si>
    <t>Louis Palson</t>
  </si>
  <si>
    <t xml:space="preserve">Land broker at Landerz - on vacation </t>
  </si>
  <si>
    <t>Jean-Samuel Baillargeon</t>
  </si>
  <si>
    <t>TD</t>
  </si>
  <si>
    <t>National: Renaud Mondor</t>
  </si>
  <si>
    <t>COI, reports directly under Elizabeth Roy.</t>
  </si>
  <si>
    <t>Alexandre Lemieux</t>
  </si>
  <si>
    <t>Cosmo Group</t>
  </si>
  <si>
    <t>COI; booked networking event tickets for August, going with Odi, bringing Colliers.</t>
  </si>
  <si>
    <t>Ezat Wakil</t>
  </si>
  <si>
    <t>Michel Elias</t>
  </si>
  <si>
    <t>Has a 4-plex, wants to add a floor to make it a 6-plex - Next year. Reach ut next year</t>
  </si>
  <si>
    <t>Marie-Sophie.blanchet</t>
  </si>
  <si>
    <t>Scotia</t>
  </si>
  <si>
    <t xml:space="preserve">Marie-Sophie.blanchet@scotiabank.com CMGT approval team </t>
  </si>
  <si>
    <t>Edgar Benoit</t>
  </si>
  <si>
    <t>Benoit Immo</t>
  </si>
  <si>
    <t>Property Manager</t>
  </si>
  <si>
    <t>Arnau</t>
  </si>
  <si>
    <t>Refered him Ridgewood asked him for referal</t>
  </si>
  <si>
    <t>Veselka Naydenova</t>
  </si>
  <si>
    <t>514-889-4972</t>
  </si>
  <si>
    <t>Property at 2650 Avenue Barclay. 514 889-4972  - was very rude never to call again</t>
  </si>
  <si>
    <t>Francois Mackay</t>
  </si>
  <si>
    <t>514-637-9755</t>
  </si>
  <si>
    <t>Property at 8781-8791 Avenue Henri-Julien, Montreal. 514 637-9755.</t>
  </si>
  <si>
    <t>Nathalie Dore</t>
  </si>
  <si>
    <t>418-929-4627</t>
  </si>
  <si>
    <t>Property at 2330-2340 Rue Bruneau, La Cite-Limoilou. 418 929-4627. Second listing - 1590 Avenue De Niverville, Quebec (La Cite-Limoilou).</t>
  </si>
  <si>
    <t>Follow-up - 750 Dupre, Beloeil listing.</t>
  </si>
  <si>
    <t>Referral</t>
  </si>
  <si>
    <t>Follow-up - wants to buy the building he's renting in at 149 Boul. Saint-Jean-Baptiste.</t>
  </si>
  <si>
    <t>Jasmin Demers</t>
  </si>
  <si>
    <t>450-521-6799</t>
  </si>
  <si>
    <t>Property at 604-612 Avenue Sainte-Croix. 450 521-6799.
Investor a la base, been 18 months hes a broker. Knows Jeff offered him to have coffee at our offices</t>
  </si>
  <si>
    <t>Yanick Dionne</t>
  </si>
  <si>
    <t>819-474-3134</t>
  </si>
  <si>
    <t>Yanick Dionne Inc.</t>
  </si>
  <si>
    <t>Property at 4870-4886 &amp; 4890-4906 Rue Lagace, Drummondville. 819 474-3134.</t>
  </si>
  <si>
    <t>Frank Iacobellis</t>
  </si>
  <si>
    <t>450-704-0950</t>
  </si>
  <si>
    <t>Instagram Ad</t>
  </si>
  <si>
    <t>Interested in CMHC programs. +1 450 704-0950, fiacobel@hotmail.com.</t>
  </si>
  <si>
    <t>[Sent prelim UW] Property for sale at 4120 Boul. des Grandes-Prairies; sent me the #s for UW</t>
  </si>
  <si>
    <t>Laurent Suissa</t>
  </si>
  <si>
    <t>RCGT</t>
  </si>
  <si>
    <t>Lawyer</t>
  </si>
  <si>
    <t>Tax lawyer; 80% of his portfolio is real estate (COI).</t>
  </si>
  <si>
    <t>Danny Cormier</t>
  </si>
  <si>
    <t xml:space="preserve">Property at 25 Rue Saint-Joseph. PMML already engaged on this one. Spoke to his collegue Pierre Luc  819 350-9955 'plstonge@remax-elite.ca' </t>
  </si>
  <si>
    <t xml:space="preserve">Simon Beausejour /
Yvon Cousineau </t>
  </si>
  <si>
    <t>450-898-3113</t>
  </si>
  <si>
    <t xml:space="preserve">Property at 2763 Rue Monette. 450 898-3113.
https://sutton-synergie.ca/ - They cover Joliette, Repentigny, Montreal, Saint-Eustache, Saint-Donat, Saint-Sauveur, and Saint-Jérôme.
Spoke to Sonia secretary: Bunch that are commercial; Simon, Martin Remi, Mr cloutier, Covac, Julie </t>
  </si>
  <si>
    <t>M. Chev</t>
  </si>
  <si>
    <t>514-578-7366</t>
  </si>
  <si>
    <t>Art Refinancing</t>
  </si>
  <si>
    <t>Refinancing inquiry. +1 514 578-7366, m.chev_fineart@hotmail.ca.</t>
  </si>
  <si>
    <t>Follow-up - 3462 Jeanne-Mance, Plateau-Mont-Royal O listing.</t>
  </si>
  <si>
    <t>Gilad Ben Dor</t>
  </si>
  <si>
    <t>National Bank (BNC)</t>
  </si>
  <si>
    <t>National Bank real estate team (COI).</t>
  </si>
  <si>
    <t>Chloee Chamberland</t>
  </si>
  <si>
    <t>Imso</t>
  </si>
  <si>
    <t>Networking Event</t>
  </si>
  <si>
    <t>[1400 Marie-Victorin, St-Bruno] 2 commercial buildings + 1 assumation</t>
  </si>
  <si>
    <t>Jacinthe Parenteau</t>
  </si>
  <si>
    <t>514-968-9961</t>
  </si>
  <si>
    <t xml:space="preserve">Property at 142 Rue Notre-Dame, Notre-Dame-du-Bon-Conseil. 514 968-9961. parenteau.filles@remax-quebec.com
She said: Already have direct contacts with banks; told her market changes and I used to work there. She told me a lot of her clients have a lot of doors and know the ropes; yes but changes with CMHC, plus we do 3 billion of transactions so we have those type of clients and its even more experience on how to position files </t>
  </si>
  <si>
    <t>Tony Vinado Douk</t>
  </si>
  <si>
    <t>514-431-4315</t>
  </si>
  <si>
    <t xml:space="preserve">Property at 2095 Boul. Grand, Montreal. Owners: Kevinnick Pong, Rith Kang, Thakounthap Pong, Eddyrick Pong. 514 431-4315
His brother works at ICI Canada, Jeremie Douk CPA, started a year ago. Clietn clients are childood friend mostly chinese already have a broker, didnt refer to his brother yet. </t>
  </si>
  <si>
    <t>Robert Glode</t>
  </si>
  <si>
    <t>514-772-2358</t>
  </si>
  <si>
    <t>Built a 16-plex in Saint-Jean-sur-Richelieu, wants to build two more; Desjardins has no more money to lend. 514 772-2358, robertglode@hotmail.com.</t>
  </si>
  <si>
    <t>Vincent Chenier</t>
  </si>
  <si>
    <t>514-609-8269</t>
  </si>
  <si>
    <t>Refinancing - 27 Rue de l'Eglise, Edmundston NB; 40-unit property, $2.6M. 514 609-8269, vincent.chenier3@gmail.com.</t>
  </si>
  <si>
    <t>Follow-up email after IG outreach.</t>
  </si>
  <si>
    <t>Follow-up, National Bank real estate team (COI).</t>
  </si>
  <si>
    <t>F/U business owner wants to buy a property wants to know his budget F/U to get his NDA signed so I can get the FS</t>
  </si>
  <si>
    <t>Kokulan</t>
  </si>
  <si>
    <t>Paul Parenteau</t>
  </si>
  <si>
    <t>819-470-0240</t>
  </si>
  <si>
    <t>Co-broker on 142 Rue Notre-Dame, Notre-Dame-du-Bon-Conseil. 819 470-0240.</t>
  </si>
  <si>
    <t>Saguy Elbaz</t>
  </si>
  <si>
    <t>514-892-7653 / 514-612-6892</t>
  </si>
  <si>
    <t>Property at 2265 Avenue Madison. Owners: Philip Kakon, Eric Wazana, Yacov Wazana. 514 892-7653 / 514 612-6892.</t>
  </si>
  <si>
    <t>Joe Turturici</t>
  </si>
  <si>
    <t>514-757-1973</t>
  </si>
  <si>
    <t>Has a conventional 7-plex, plus 2x12-plex with a group; wants to leverage with CMHC. 514 757-1973, joe.t@turpone.com.</t>
  </si>
  <si>
    <t xml:space="preserve">Siva Vaitheeswaran </t>
  </si>
  <si>
    <t>514-923-7907</t>
  </si>
  <si>
    <t>Interested in CMHC programs. +1 514 923-7907, v_siva45@hotmail.com.</t>
  </si>
  <si>
    <t>Follow-up - 24-plex Sainte-Anne-des-Plaines + 7x7 Saint-Jerome  Said he will send me everything next week</t>
  </si>
  <si>
    <t>Amandip-Singh Dhaliwal</t>
  </si>
  <si>
    <t>438-889-8863 / 514-426-0047</t>
  </si>
  <si>
    <t>Has a triplex on Keller; call regardless. 438 889-8863 / 514 426-0047.</t>
  </si>
  <si>
    <t>Carmine Padula</t>
  </si>
  <si>
    <t>514-360-8480</t>
  </si>
  <si>
    <t>Property at 7001 Rue Jarry Est, Montreal (Anjou). 514 360-8480.</t>
  </si>
  <si>
    <t>Amy Assad</t>
  </si>
  <si>
    <t>514-884-8000</t>
  </si>
  <si>
    <t>Multiple Ville-Marie addresses (419-427 Avenue Viger Est; 698-704 &amp; 350-350A Rue Notre-Dame). Owner: Emile H. Benamor. 514 884-8000.</t>
  </si>
  <si>
    <t>Claude Lessard</t>
  </si>
  <si>
    <t>514-386-6176 / 450-661-6810</t>
  </si>
  <si>
    <t>Property at 80 Place Mercier, Candiac. 514 386-6176 / 450 661-6810.</t>
  </si>
  <si>
    <t>Marie-Christine Pelletier</t>
  </si>
  <si>
    <t>Property at 7496-7502 Avenue Christophe-Colomb. Owners: Isabelle Cote &amp; Terry Alieu. 514 8262-7631.</t>
  </si>
  <si>
    <t>Alex Samson</t>
  </si>
  <si>
    <t>514-984-1658 / 450-692-1090</t>
  </si>
  <si>
    <t>Property at 818 Boul. Saint-Jean-Baptiste. 514 984-1658 / 450 692-1090.</t>
  </si>
  <si>
    <t>Charles Antoine Lalonde</t>
  </si>
  <si>
    <t>Account manager @ Graitec Canada</t>
  </si>
  <si>
    <t>Caroline Einish</t>
  </si>
  <si>
    <t>418-585-2770</t>
  </si>
  <si>
    <t xml:space="preserve">418 585-2770 einishcaroline@gmail.com - Luc, old guy, answered call back later to speak to Caroline hes not aware of anything .. </t>
  </si>
  <si>
    <t>Christopher Piedad</t>
  </si>
  <si>
    <t>418-409-6873</t>
  </si>
  <si>
    <t>418 409 6873 topietops@yahoo.com</t>
  </si>
  <si>
    <t>Khalil Tabatabai</t>
  </si>
  <si>
    <t>514-968-5991</t>
  </si>
  <si>
    <t xml:space="preserve">514 968-5991  Khalil Tabatabai has a 3 plex in montreal and 2 plex in Windsow, and a islamic school in Windsor with land next to it wants to build 100 units . Zero experience </t>
  </si>
  <si>
    <t>Marie-Sophie.blanchet@scotiabank.com</t>
  </si>
  <si>
    <t>Teams meeting; shes the one in charge of the Scotia files</t>
  </si>
  <si>
    <t>Emily Donahue</t>
  </si>
  <si>
    <t>De Grandpre Chait</t>
  </si>
  <si>
    <t xml:space="preserve">Invited me to Soccer Game Thursday </t>
  </si>
  <si>
    <t>Amine Guénnich</t>
  </si>
  <si>
    <t>RBC</t>
  </si>
  <si>
    <t>[1335 BOUL SAINTE-CATHERINE &amp; 1493-1499 ATATEKEN ] Senior Financing Specialist now. Reached out because he has a client looking to refinance two semi-commercial buildings in downtown Montreal, currently financed with RBC. CAM:Guillaume De Tillidon, Owner of an adult production company and Le Campus Village. Reviewed his real estate portfolio, including an owner-occupied mixed-use property on Ste-Catherine (office, basement unit and two residential condos, approx. $1.4M mortgage balance) and an 8–10-unit property on Atateken with one commercial tenant (laundromat/hairdresser, est. value $1.1M). Relationship was escalated after requests for a line of credit, Visa and GRM, as total exposure exceeded $3M, triggering an annual CAG review. Main discussion focused on compliance/PSOA considerations and the business's relatively tight cash flow due to ongoing production-related expenses and investments.</t>
  </si>
  <si>
    <t>Olivier Lepine</t>
  </si>
  <si>
    <t>Real Estate Group; IMSO</t>
  </si>
  <si>
    <t xml:space="preserve">Lucas </t>
  </si>
  <si>
    <t>Canora Team</t>
  </si>
  <si>
    <t>Mathieu is friendly with Jeffrey.Charles (founder) appreciates the offer but theyre well served already in term so financing!</t>
  </si>
  <si>
    <t>Bassel Abboud</t>
  </si>
  <si>
    <t>Cushman</t>
  </si>
  <si>
    <t>[6700 Boul Laurier] I have a client who is looking to buy a gas station. They have a down payment between 200-250k. - not double wall tank and not enough down.. We are 100k short. Purchase price was 945k</t>
  </si>
  <si>
    <t>Oren Elbaz</t>
  </si>
  <si>
    <t>Sarah Adam</t>
  </si>
  <si>
    <t xml:space="preserve">Mikeadam809@gmail.com - has land in laval (85 Rue Grenon E) with a carrosserie on it - 20 apparments - 3 floors or sell it.. Or build something a carrosserie on land he wants to buy. No experience. </t>
  </si>
  <si>
    <t>Guillaume Patenaude</t>
  </si>
  <si>
    <t>Amine G. RBC</t>
  </si>
  <si>
    <t xml:space="preserve">Mohamed Yacoub </t>
  </si>
  <si>
    <t>514-781-5129</t>
  </si>
  <si>
    <t xml:space="preserve">Usman </t>
  </si>
  <si>
    <t>[Verdun 6 porte]  514-781-5129 &lt;myacoub888@gmail.com&gt; Project in Verdun has land did some plans can build 6 or 8 units.. Told him to send me his budget and unit mix when hes ready</t>
  </si>
  <si>
    <t xml:space="preserve">Cédric Dagenais </t>
  </si>
  <si>
    <t>PWC</t>
  </si>
  <si>
    <t>Accountant</t>
  </si>
  <si>
    <t xml:space="preserve">Emailed him asked if he worked on the 6600 Saint-Urbain, that just closed with Laurentienne Olymbec fro PWC Restructuring team. Asked for a catch up call. </t>
  </si>
  <si>
    <t xml:space="preserve">Alfredo </t>
  </si>
  <si>
    <t>Marcus Milichp</t>
  </si>
  <si>
    <t>[Sander Boeng] Refered me a client looking to buy an owner occupied buildign for his operations. We are trying to see how he can refer me more and how hes getting his leads</t>
  </si>
  <si>
    <t>Dominique Daigle</t>
  </si>
  <si>
    <t>Agile Solutions</t>
  </si>
  <si>
    <t>[227 boul. Saint Maurice] Dom is an operational broker at Agile Solution, has a client buying the business + building (trois riviere). PP 13.3M Evaluation at 18.6M but avec bcp denjeux environemntal bc it’s a manufacturing company that has iron contamination. Business has been there for over 50 years</t>
  </si>
  <si>
    <t>[6444-6490 Avenue Victoria] Has a lien on the property 475k- wants to build 8 residential units</t>
  </si>
  <si>
    <t>Alexandre Provost Ing</t>
  </si>
  <si>
    <t>Trane Technologies</t>
  </si>
  <si>
    <t>Circle 13; has a potential project in the outskirts of montreal a piece of land next to a hospital I believe able to build 100 units</t>
  </si>
  <si>
    <t>Massimo Paolitto</t>
  </si>
  <si>
    <t>Masscon</t>
  </si>
  <si>
    <t xml:space="preserve">Circle 13; was supposed to have coffee with Jeff is traveling until end of August will be back </t>
  </si>
  <si>
    <t>Francis Lavigne</t>
  </si>
  <si>
    <t>Groupe Jesta</t>
  </si>
  <si>
    <t>Circle 13; Responsible de la construction de project</t>
  </si>
  <si>
    <t xml:space="preserve">Joe Argento </t>
  </si>
  <si>
    <t xml:space="preserve">Circle 13; catching up </t>
  </si>
  <si>
    <t>Peter Morris</t>
  </si>
  <si>
    <t>Circle 13; breif introduction</t>
  </si>
  <si>
    <t>Valerie Goulet</t>
  </si>
  <si>
    <t>Humanscale</t>
  </si>
  <si>
    <t xml:space="preserve">Circle 13; potential prospecting meeting. She reaches out to developers and does ergonomic assessments for their tenants </t>
  </si>
  <si>
    <t>Benjamin Gauld</t>
  </si>
  <si>
    <t>Royal Lepage</t>
  </si>
  <si>
    <t xml:space="preserve">Circle 13; seems like he had hot leads for me, does only commercial </t>
  </si>
  <si>
    <t>Brigitte Dupuis</t>
  </si>
  <si>
    <t>GBI</t>
  </si>
  <si>
    <t>Circle 13; bought her book (engineering firm)</t>
  </si>
  <si>
    <t>Jean-Bernard Parenteau</t>
  </si>
  <si>
    <t>Borealis - Appraiser</t>
  </si>
  <si>
    <t xml:space="preserve">Circle 13; hes the head of Circle 13 but also we caught up we had spoken a while back regarding my hotel deal he actually remmebered </t>
  </si>
  <si>
    <t xml:space="preserve">Ralph Karawani </t>
  </si>
  <si>
    <t>Equans Services Inc.</t>
  </si>
  <si>
    <t xml:space="preserve">Circle 13; Building operations and energy services </t>
  </si>
  <si>
    <t>Martin Bernier Belanger</t>
  </si>
  <si>
    <t>Strata - Enviro</t>
  </si>
  <si>
    <t xml:space="preserve">Circle 13; ESA Report </t>
  </si>
  <si>
    <t>Built a 16-plex in Saint-Jean-sur-Richelieu, wants to build two more; rented first phase deja. Desjardins has no more money to lend. 514 772-2358, robertglode@hotmail.com.</t>
  </si>
  <si>
    <t>Fiona Chang</t>
  </si>
  <si>
    <t>Avison Young</t>
  </si>
  <si>
    <t>Works with Gad and Shlomo- spoek to me about Zoominfo to look into to get contact info but mostly works for businesses..</t>
  </si>
  <si>
    <t>Mourad Bouhaddi</t>
  </si>
  <si>
    <t>Avea</t>
  </si>
  <si>
    <t>Has a 21 door + 6 door for sale. I sent it to a bunch of people I thought could be interested or know someone. Joe Argento, Ulric, Francis Lebel, Francis Beauregard, Peter Halaby, RBC</t>
  </si>
  <si>
    <t>Follow up by email and call to get construction budget or something</t>
  </si>
  <si>
    <t>David Dayan</t>
  </si>
  <si>
    <t>Real Estate team</t>
  </si>
  <si>
    <t>Anthony D'Andrea</t>
  </si>
  <si>
    <t>Does investment properties and OOTL D'Andrea, Anthony M &lt;Anthony.D'Andrea@td.com&gt;</t>
  </si>
  <si>
    <t>Andrea Piccolo</t>
  </si>
  <si>
    <t>Immotec</t>
  </si>
  <si>
    <t>Follow up on grabbing lunch</t>
  </si>
  <si>
    <t>Anh Tan</t>
  </si>
  <si>
    <t>IQ</t>
  </si>
  <si>
    <t xml:space="preserve">Follow up </t>
  </si>
  <si>
    <t xml:space="preserve">Jean-Paul Pham </t>
  </si>
  <si>
    <t>Laurentienne</t>
  </si>
  <si>
    <t>Laurentienne appetite quarterly check</t>
  </si>
  <si>
    <t>Saad Shaikh</t>
  </si>
  <si>
    <t>Peter - Dentist</t>
  </si>
  <si>
    <t>Dentiste</t>
  </si>
  <si>
    <t xml:space="preserve">Nicolas </t>
  </si>
  <si>
    <t xml:space="preserve">Wants to buy a building - 1-2M CIBC made him an offer 100% </t>
  </si>
  <si>
    <t>Nicolas Guenard</t>
  </si>
  <si>
    <t>Broker</t>
  </si>
  <si>
    <t xml:space="preserve">Referal - catch up </t>
  </si>
  <si>
    <t>Pino</t>
  </si>
  <si>
    <t>Retired</t>
  </si>
  <si>
    <t>Alfredo</t>
  </si>
  <si>
    <t>Knows a tone of people</t>
  </si>
  <si>
    <t>Luke Macdonald</t>
  </si>
  <si>
    <t>Caledon</t>
  </si>
  <si>
    <t xml:space="preserve">Mining and infrastructure sectors in North America </t>
  </si>
  <si>
    <t>Thomas J Baron</t>
  </si>
  <si>
    <t xml:space="preserve">Simadvanced - Account manager </t>
  </si>
  <si>
    <t>Has  owner occupied transactions</t>
  </si>
  <si>
    <t>Michael Paduano</t>
  </si>
  <si>
    <t>TD Healthcare</t>
  </si>
  <si>
    <t>Steven S</t>
  </si>
  <si>
    <t>Alpha Estate</t>
  </si>
  <si>
    <t xml:space="preserve">PMML Matias Hache - 514-889-0255 </t>
  </si>
  <si>
    <t>Denis Gallico</t>
  </si>
  <si>
    <t>514-206-5468</t>
  </si>
  <si>
    <t>Groupe Immo Alliances</t>
  </si>
  <si>
    <t>Nous closons 500-700 logements par année et voulons s’assurer de ne faire perdre de temps à personne - 514.206.5468 | denis.gallico@gmail.com</t>
  </si>
  <si>
    <t>Mario Di Lillo</t>
  </si>
  <si>
    <t xml:space="preserve">Accepted to meet -  Di Lillo Construction </t>
  </si>
  <si>
    <t xml:space="preserve">Chérif Lassissi </t>
  </si>
  <si>
    <t xml:space="preserve">Wants to build a Maison de pension terrain acquistion </t>
  </si>
  <si>
    <t>Joe Tomasino</t>
  </si>
  <si>
    <t>Wants to buy equipment and a building soon. Introduced him to Alfredo</t>
  </si>
  <si>
    <t>227 Boulevard du Saint-Maurice, Trois-Rivières - wants to buy a business</t>
  </si>
  <si>
    <t>Kokluan</t>
  </si>
  <si>
    <t>Remax</t>
  </si>
  <si>
    <t xml:space="preserve">updates one xisitng files </t>
  </si>
  <si>
    <t xml:space="preserve">Sylvie Beauchamp / Diane Jolicoeur </t>
  </si>
  <si>
    <t>514-994-7633</t>
  </si>
  <si>
    <t>Gestion Chambery Inc.</t>
  </si>
  <si>
    <t xml:space="preserve"> 514-994-7633 June: sold a 15 plex on 165 de Chambéry Boulevard</t>
  </si>
  <si>
    <t>MARWAN BITAR</t>
  </si>
  <si>
    <t>514-994-6400</t>
  </si>
  <si>
    <t>514 994-6400 Bought building on 5101 du Parc Avenue 12 plex</t>
  </si>
  <si>
    <t>Anthony Desgagne</t>
  </si>
  <si>
    <t>U Développement</t>
  </si>
  <si>
    <t>Gianni Vincent Colella</t>
  </si>
  <si>
    <t>514-668-1709 / 450-430-6165</t>
  </si>
  <si>
    <t>9545-7099 Québec Inc.</t>
  </si>
  <si>
    <t>Owns 13235 du Curé-Labelle Boulevard 514 668-1709 450 430-6165 ggrenovation.ca@gmail.com</t>
  </si>
  <si>
    <t>Mirko Fantini</t>
  </si>
  <si>
    <t>514-602-8115</t>
  </si>
  <si>
    <t>Groupe MFL Inc.</t>
  </si>
  <si>
    <t>sold a 15 plex in cote des neige  - Président chez Béton Excellence   +1 514-602-8115 info@betonexcellence.ca</t>
  </si>
  <si>
    <t>Jean Luc Dion / Vanessa Brodeur / Charles Lussier</t>
  </si>
  <si>
    <t>Groupe Pleximmo Inc.</t>
  </si>
  <si>
    <t>bought a plex in Mont-Saint-Hilaire</t>
  </si>
  <si>
    <t>Guy Belanger</t>
  </si>
  <si>
    <t>Gestion Camarolo Inc.</t>
  </si>
  <si>
    <t>Sold a plex in Mont-Saint-Hilaire</t>
  </si>
  <si>
    <t>Alaa AGHA</t>
  </si>
  <si>
    <t>Real Estate Investor &amp; Owner-Operator | Multi-Unit Residential</t>
  </si>
  <si>
    <t xml:space="preserve">bought a plex in Laval added him on linked in </t>
  </si>
  <si>
    <t xml:space="preserve">Alexandre Gauthier </t>
  </si>
  <si>
    <t>ClearEstate</t>
  </si>
  <si>
    <t>transacted a 8 plex in vieux longieur but also has a saas company for CRE</t>
  </si>
  <si>
    <t>Evan Fitzgibbon</t>
  </si>
  <si>
    <t>Copap</t>
  </si>
  <si>
    <t xml:space="preserve">Copap - global leader in forest products, petrochemicals, and polymers/PVC, delivering end-to-end solutions in sales, marketing, logistics, </t>
  </si>
  <si>
    <t>Shiv Pittea</t>
  </si>
  <si>
    <t xml:space="preserve">IT </t>
  </si>
  <si>
    <t>Linked in conv opened - he bought a building in blainville a 15 plex</t>
  </si>
  <si>
    <t>Armando Cappello</t>
  </si>
  <si>
    <t>514-442-4161 / 514-833-0550</t>
  </si>
  <si>
    <t>Domaco Encocorp Construction</t>
  </si>
  <si>
    <t>514‐442‐4161  armando@domacoencocorp.com or 514‐833‐0550 or by email at raphael@domacoencocorp.com - bought an office building in dorval</t>
  </si>
  <si>
    <t>Louis-Philippe Labonté</t>
  </si>
  <si>
    <t>514-377-0692</t>
  </si>
  <si>
    <t>Labonté Creamer
Proulx Vadnais &amp; Associés Inc</t>
  </si>
  <si>
    <t>Does office 514-377-0692 lplabonte@provad.ca</t>
  </si>
  <si>
    <t xml:space="preserve">Stéphanie Airaud </t>
  </si>
  <si>
    <t>Nordence</t>
  </si>
  <si>
    <t>advisory firm that helps businesses with legal, financial, strategic, HR, and operational matters through one integrated team.</t>
  </si>
  <si>
    <t xml:space="preserve">Stella MERGL </t>
  </si>
  <si>
    <t xml:space="preserve">Entreprise ESM Inc. </t>
  </si>
  <si>
    <t>stella@entrepriseesm.com - excavation</t>
  </si>
  <si>
    <t>Nicholas Katsepontes</t>
  </si>
  <si>
    <t>438-989-6445</t>
  </si>
  <si>
    <t>[Ottawa - NS] 438-989-6445 nicholas@kmlawfirm.ca - has projects in Ottawa and Nova Scotia</t>
  </si>
  <si>
    <t>Roberto Addona</t>
  </si>
  <si>
    <t>robertoaddona1@gmail.com</t>
  </si>
  <si>
    <t>Sent him liste depicerie</t>
  </si>
  <si>
    <t xml:space="preserve">Cindy Leclerc </t>
  </si>
  <si>
    <t>Cindy Leclerc Immo</t>
  </si>
  <si>
    <t>Dmed her</t>
  </si>
  <si>
    <t>Matt Singh</t>
  </si>
  <si>
    <t>'matt770@telus.net'</t>
  </si>
  <si>
    <t>Frank Mandato</t>
  </si>
  <si>
    <t xml:space="preserve"> MDI Construction Inc.</t>
  </si>
  <si>
    <t>[Undivided condos ] Nationwide company - commercial construciton since 2003 added me on IG , MDI Construction Inc - Email sent</t>
  </si>
  <si>
    <t xml:space="preserve">Swann </t>
  </si>
  <si>
    <t>SOP</t>
  </si>
  <si>
    <t>Florence Chausse</t>
  </si>
  <si>
    <t>MCAP</t>
  </si>
  <si>
    <t xml:space="preserve">Mesasged her - Kingsett now MCAP - coffee Friday </t>
  </si>
  <si>
    <t>Myriam Brahimcha</t>
  </si>
  <si>
    <t>Nault Avocat</t>
  </si>
  <si>
    <t>Known her from RBC</t>
  </si>
  <si>
    <t xml:space="preserve">Adamo Di Lembo </t>
  </si>
  <si>
    <t>514-979-2390</t>
  </si>
  <si>
    <t xml:space="preserve">15149792390 adamodilembo@videotron.ca GC wants to invest in CMHC basic send him a breif calculator </t>
  </si>
  <si>
    <t>Jake Nelson</t>
  </si>
  <si>
    <t>613-857-0305</t>
  </si>
  <si>
    <t>[Ottawa] jakenelson@aedifico-constructionelite.ca 16138570305 - sent him an email  6 multi plex near take out / 58 townhouse project -</t>
  </si>
  <si>
    <t xml:space="preserve">1.25M + loan + real esteate up to 10M </t>
  </si>
  <si>
    <t>Joel Chevarie Tremblay</t>
  </si>
  <si>
    <t>BMO - VP</t>
  </si>
  <si>
    <t>Elie Saliba</t>
  </si>
  <si>
    <t>Kitan</t>
  </si>
  <si>
    <t>Elie Saliba &lt;elie@federal-realestate.com&gt;</t>
  </si>
  <si>
    <t>Tushyan</t>
  </si>
  <si>
    <t>438-923-5562</t>
  </si>
  <si>
    <t>14389235562 Outsiderz_t@outlook.com - called - emailed</t>
  </si>
  <si>
    <t>Chris Maclean</t>
  </si>
  <si>
    <t>514-992-5926</t>
  </si>
  <si>
    <t>[Dorval + Ste Anne] 514 992-5926 chris@basespaces.ca - emailed him -</t>
  </si>
  <si>
    <t>Gordon Fawcett</t>
  </si>
  <si>
    <t>416-689-2778</t>
  </si>
  <si>
    <t>[phase 4] TO - 416-689-2778 Gordf@perfmgmt.com</t>
  </si>
  <si>
    <t>Matija Rimac</t>
  </si>
  <si>
    <t>Broker wants to talk CMHC</t>
  </si>
  <si>
    <t>Steven</t>
  </si>
  <si>
    <t xml:space="preserve">RPA 160 units </t>
  </si>
  <si>
    <t>Iouri Chest</t>
  </si>
  <si>
    <t xml:space="preserve">ON Palmerston - Looking to develop a Flex Space Building </t>
  </si>
  <si>
    <t>Tavitian, Julia</t>
  </si>
  <si>
    <t>RBC - Health</t>
  </si>
  <si>
    <t>Tavitian, Julia &lt;julia.tavitian@rbc.com&gt; Health care</t>
  </si>
  <si>
    <t xml:space="preserve">Buying Owner occupied or cnstrutin </t>
  </si>
  <si>
    <t>Anabel</t>
  </si>
  <si>
    <t>Ortam</t>
  </si>
  <si>
    <t xml:space="preserve">Broker commercial </t>
  </si>
  <si>
    <t xml:space="preserve">Chestopalov Iouri </t>
  </si>
  <si>
    <t>Alain Roy</t>
  </si>
  <si>
    <t>438-838-7337</t>
  </si>
  <si>
    <t>1438-838-7337 aroy@royaxxion.com New Construction - has clients will send me an email</t>
  </si>
  <si>
    <t>Kevin Lee</t>
  </si>
  <si>
    <t>514-758-1522</t>
  </si>
  <si>
    <t xml:space="preserve">514 758-1522 Kevin@porte36.com CMHC programs - has a duplex at hochelaga transform en 8 plex. Has plan EE, en discussion avec la ville avec plan preliminaire. Also thinkign of buying a commercial building, wants to finance it 100%... And turn top floors into residential </t>
  </si>
  <si>
    <t>Sergio Pannunzio</t>
  </si>
  <si>
    <t>514-582-9806</t>
  </si>
  <si>
    <t>[Emailed] 514 582 9806 sergio@jemss.ca Bridge loans</t>
  </si>
  <si>
    <t>Sam</t>
  </si>
  <si>
    <t>514-559-4424</t>
  </si>
  <si>
    <t xml:space="preserve">514 559 4424  Sam@xtremedelux.com New Construction - starter </t>
  </si>
  <si>
    <t>Jill</t>
  </si>
  <si>
    <t>514-691-0800</t>
  </si>
  <si>
    <t>[Emailed] 15146910800  jillshpritser@gmail.com CMHC Program</t>
  </si>
  <si>
    <t>Maria</t>
  </si>
  <si>
    <t>514-606-7468</t>
  </si>
  <si>
    <t>[Emailed] 5146067468 kettutoring100@gmail.com  Refianncing</t>
  </si>
  <si>
    <t>Wikson Wilson</t>
  </si>
  <si>
    <t>514-240-6641</t>
  </si>
  <si>
    <t>15142406641 coburn.fraser@gmail.com  CMHC Program - looking for a plex.. Has a pnw is in wealth management</t>
  </si>
  <si>
    <t>N Thomas</t>
  </si>
  <si>
    <t>416-989-9024</t>
  </si>
  <si>
    <t>[Emailed] 416 989 9024 nick_thomas@live.ca New cosntruction</t>
  </si>
  <si>
    <t>Rez</t>
  </si>
  <si>
    <t>613-314-8066</t>
  </si>
  <si>
    <t>[Emailed] 613 314 8066 rezg24@gmail.com New Constructioon</t>
  </si>
  <si>
    <t>serais en mesure de mettre en place un bridge de construction incluant le terrain, les coûts de construction ainsi que les soft costs? Nous sommes présentement en attente de notre évaluation. Voici les chiffres préliminaires : Coût total du projet : 1,8 M$ Valeur estimée, sous toutes réserves : 2,3 M$</t>
  </si>
  <si>
    <t>Richard Rampersad</t>
  </si>
  <si>
    <t>Has his trustd advisers…. They worked 100% of the time</t>
  </si>
  <si>
    <t xml:space="preserve">Mariana El-Ayoubi </t>
  </si>
  <si>
    <t>514-873-5781</t>
  </si>
  <si>
    <t xml:space="preserve">Mariana El-Ayoubi &lt;Mariana.El-Ayoubi@invest-quebec.com&gt; 514 873-5781 </t>
  </si>
  <si>
    <t>Jean-Sebastien</t>
  </si>
  <si>
    <t>Basalt Capital Inc</t>
  </si>
  <si>
    <t>CEO &amp; Managing Partner | Croissance, commercialisation et financement</t>
  </si>
  <si>
    <t>Anabel Schneller</t>
  </si>
  <si>
    <t>Grants deparmtnet for heat pumps etc</t>
  </si>
  <si>
    <t>Akhan</t>
  </si>
  <si>
    <t>514-662-1280</t>
  </si>
  <si>
    <t>Boutique cell-Pod</t>
  </si>
  <si>
    <t>514 662 1280 akhan_39@yahoo.ca Refinancing - private lender 12% house in DDO</t>
  </si>
  <si>
    <t>Mike Raffoul</t>
  </si>
  <si>
    <t>514-949-0926</t>
  </si>
  <si>
    <t xml:space="preserve">514 949 0926 mike@mmdistribution.ca New Construction - not interested </t>
  </si>
  <si>
    <t>Paris</t>
  </si>
  <si>
    <t>514-999-8788</t>
  </si>
  <si>
    <t>[Emailed] 514 999 8788 p.spanos@icloud.com New Construction</t>
  </si>
  <si>
    <t>Thambithurai Selvathas</t>
  </si>
  <si>
    <t>514-755-3097</t>
  </si>
  <si>
    <t>(Jonathan) 514 755 3097 thas32a@yahoo.com CMHC programs - looking for 8 plex</t>
  </si>
  <si>
    <t>Notary</t>
  </si>
  <si>
    <t>Nault Avocats</t>
  </si>
  <si>
    <t>mbrahimcha@naultavocats.ca&gt; Dentiste incorporation, acquistion clinique orthodontiste Health</t>
  </si>
  <si>
    <t>David Haynes</t>
  </si>
  <si>
    <t xml:space="preserve">Nova Scotia - needs investor in his 60 units </t>
  </si>
  <si>
    <t>Saqib</t>
  </si>
  <si>
    <t>Home Trust</t>
  </si>
  <si>
    <t>Yasmine</t>
  </si>
  <si>
    <t>Saro Karayan</t>
  </si>
  <si>
    <t xml:space="preserve">FTQ </t>
  </si>
  <si>
    <t>Philippe Lemieux</t>
  </si>
  <si>
    <t>Mission Solaire</t>
  </si>
  <si>
    <t xml:space="preserve">Accompagne architects and GCs, blinds </t>
  </si>
  <si>
    <t>Alexandre Cayer Desforges</t>
  </si>
  <si>
    <t>Groupe Chevalier Seguin</t>
  </si>
  <si>
    <t xml:space="preserve">Will put me in touch with their fiannce guy </t>
  </si>
  <si>
    <t>Georges Abou Atme</t>
  </si>
  <si>
    <t>Architecture &amp; Planning</t>
  </si>
  <si>
    <t>Imane Lefki</t>
  </si>
  <si>
    <t>Toiture D Jean</t>
  </si>
  <si>
    <t>Omar Selim</t>
  </si>
  <si>
    <t>CIBC</t>
  </si>
  <si>
    <t>Health</t>
  </si>
  <si>
    <t>Andre Pereira</t>
  </si>
  <si>
    <t>Groupe Fransyl</t>
  </si>
  <si>
    <t xml:space="preserve">Dev des affaires knows a lot of ppl willing to help me get in touch with some </t>
  </si>
  <si>
    <t>Jimmy Mouhteros</t>
  </si>
  <si>
    <t xml:space="preserve">Trimont </t>
  </si>
  <si>
    <t>Cosmo</t>
  </si>
  <si>
    <t xml:space="preserve">Tom Bountis </t>
  </si>
  <si>
    <t>Mr Puff</t>
  </si>
  <si>
    <t>Fortuna</t>
  </si>
  <si>
    <t>[Projet immobilier mixte ] Construction ABD et son président Dominic Arsenault, recherche un financement de 3 M$ sur des terrains leur appartenant d’une valeur de 7 M$. La compagnie a un projet de RPA et de développement immobilier résidentiel et commercial à Gentilly. Le prêt serait temporaire (bridge) le temps de sortir un prêt construction et hypothécaire ensuite.</t>
  </si>
  <si>
    <t>Jessy Hebert</t>
  </si>
  <si>
    <t>514-700-6001</t>
  </si>
  <si>
    <t>514 700 6001 Jessy@hebertimmobilier.ca CMHC Program</t>
  </si>
  <si>
    <t>Juan Carlos Cárdenas Soto</t>
  </si>
  <si>
    <t>438-995-6555</t>
  </si>
  <si>
    <t>438 995-6555 jancarlo28@gmail.com Refinance</t>
  </si>
  <si>
    <t>Les Alberto</t>
  </si>
  <si>
    <t>438-889-5903</t>
  </si>
  <si>
    <t>438 889 5903 lesterdu@outlook.com Bridge Loans</t>
  </si>
  <si>
    <t>Nicolas</t>
  </si>
  <si>
    <t>514-677-1697</t>
  </si>
  <si>
    <t>514 677 1697 navgin@yahoo.com CMHC program</t>
  </si>
  <si>
    <t>SSBCS DE ZEN INVESTMENTS</t>
  </si>
  <si>
    <t>416-877-3285</t>
  </si>
  <si>
    <t>416 877 3285 dragonsdezen@rogers.com Refinancing</t>
  </si>
  <si>
    <t>papa</t>
  </si>
  <si>
    <t>514-660-6996</t>
  </si>
  <si>
    <t>514 660 6996 info@legroupetc.com New Construction</t>
  </si>
  <si>
    <t>Alexandre Hlibchuk</t>
  </si>
  <si>
    <t>438-354-3596</t>
  </si>
  <si>
    <t>438 354 3596 alexhlibchuk@hotmail.com Refinancing</t>
  </si>
  <si>
    <t>Jeremie Obiang</t>
  </si>
  <si>
    <t>514-679-8407</t>
  </si>
  <si>
    <t xml:space="preserve">514 679 8407 jeremieobiangjrr@gmail.com New construction </t>
  </si>
  <si>
    <t>WEEKLY PIPELINE MEETING SUMMARY</t>
  </si>
  <si>
    <t>Weekly target (leads responded):</t>
  </si>
  <si>
    <t>Leads Contacted</t>
  </si>
  <si>
    <t>Responded</t>
  </si>
  <si>
    <t>Response Rate</t>
  </si>
  <si>
    <t>Target Met?</t>
  </si>
  <si>
    <t>Jun 29 - Jul 4</t>
  </si>
  <si>
    <t>Jul 6 - Jul 11</t>
  </si>
  <si>
    <t>Jul 13 - Jul 18</t>
  </si>
  <si>
    <t>Jul 20 - Jul 25</t>
  </si>
  <si>
    <t>Jul 27 - Aug 1</t>
  </si>
  <si>
    <t>Aug 3 - Aug 8</t>
  </si>
  <si>
    <t>Aug 10 - Aug 15</t>
  </si>
  <si>
    <t>Aug 17 - Aug 22</t>
  </si>
  <si>
    <t>Aug 24 - Aug 29</t>
  </si>
  <si>
    <t>Add more weeks by continuing the date pattern down (each row = next Mon-Sat block) — formulas recalculate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</si>
</sst>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
  </numFmts>
  <fonts count="7" x14ac:knownFonts="1">
    <font>
      <sz val="11"/>
      <color theme="1"/>
      <name val="Calibri"/>
      <family val="2"/>
      <charset val="1"/>
    </font>
    <font>
      <b/>
      <sz val="11"/>
      <color rgb="FFFFFFFF"/>
      <name val="Arial"/>
      <charset val="1"/>
    </font>
    <font>
      <sz val="10.5"/>
      <name val="Arial"/>
      <charset val="1"/>
    </font>
    <font>
      <b/>
      <sz val="14"/>
      <color rgb="FF0F411E"/>
      <name val="Arial"/>
      <charset val="1"/>
    </font>
    <font>
      <b/>
      <sz val="10.5"/>
      <name val="Arial"/>
      <charset val="1"/>
    </font>
    <font>
      <i/>
      <sz val="9"/>
      <color rgb="FF808080"/>
      <name val="Arial"/>
      <charset val="1"/>
    </font>
    <font>
      <b/>
      <sz val="11"/>
      <color rgb="FFFFFFFF"/>
      <name val="Arial"/>
      <family val="2"/>
    </font>
  </fonts>
  <fills count="4">
    <fill>
      <patternFill patternType="none"/>
    </fill>
    <fill>
      <patternFill patternType="gray125"/>
    </fill>
    <fill>
      <patternFill patternType="solid">
        <fgColor rgb="FF0F411E"/>
        <bgColor rgb="FF333333"/>
      </patternFill>
    </fill>
    <fill>
      <patternFill patternType="solid">
        <fgColor rgb="FFFFF2CC"/>
        <bgColor rgb="FFFFFFFF"/>
      </patternFill>
    </fill>
  </fills>
  <borders count="2">
    <border>
      <left/>
      <right/>
      <top/>
      <bottom/>
      <diagonal/>
    </border>
    <border>
      <left/>
      <right/>
      <top/>
      <bottom style="thin">
        <color rgb="FF80808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0" xfId="0" applyFont="1"/>
    <xf numFmtId="164" fontId="2" fillId="0" borderId="0" xfId="0" applyNumberFormat="1" applyFont="1"/>
    <xf numFmtId="49" fontId="2" fillId="0" borderId="0" xfId="0" applyNumberFormat="1" applyFont="1"/>
    <xf numFmtId="0" fontId="2" fillId="0" borderId="0" xfId="0" applyFont="1" applyAlignment="1">
      <alignment wrapText="1"/>
    </xf>
    <xf numFmtId="164" fontId="0" fillId="0" borderId="0" xfId="0" applyNumberFormat="1"/>
    <xf numFmtId="0" fontId="3" fillId="0" borderId="0" xfId="0" applyFont="1"/>
    <xf numFmtId="0" fontId="4" fillId="0" borderId="0" xfId="0" applyFont="1"/>
    <xf numFmtId="0" fontId="0" fillId="3" borderId="0" xfId="0" applyFill="1"/>
    <xf numFmtId="165" fontId="2" fillId="0" borderId="0" xfId="0" applyNumberFormat="1" applyFont="1"/>
    <xf numFmtId="0" fontId="5" fillId="0" borderId="0" xfId="0" applyFont="1"/>
    <xf numFmtId="0" fontId="6"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411E"/>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
  <sheetViews>
    <sheetView tabSelected="1" topLeftCell="L1" zoomScaleNormal="100" workbookViewId="0">
      <pane ySplit="1" topLeftCell="A2" activePane="bottomLeft" state="frozen"/>
      <selection pane="bottomLeft" activeCell="M4" sqref="M4"/>
    </sheetView>
  </sheetViews>
  <sheetFormatPr defaultColWidth="8.7109375" defaultRowHeight="15" x14ac:dyDescent="0.25"/>
  <cols>
    <col min="1" max="1" width="16" customWidth="1"/>
    <col min="2" max="2" width="12" customWidth="1"/>
    <col min="3" max="3" width="20" customWidth="1"/>
    <col min="4" max="4" width="14" customWidth="1"/>
    <col min="5" max="5" width="20" customWidth="1"/>
    <col min="6" max="7" width="16" customWidth="1"/>
    <col min="8" max="8" width="20" customWidth="1"/>
    <col min="9" max="9" width="16" customWidth="1"/>
    <col min="10" max="10" width="20" customWidth="1"/>
    <col min="11" max="12" width="12" customWidth="1"/>
    <col min="13" max="13" width="22" customWidth="1"/>
    <col min="14" max="14" width="14" customWidth="1"/>
    <col min="15" max="15" width="45" customWidth="1"/>
  </cols>
  <sheetData>
    <row r="1" spans="1:15" ht="26.25" customHeight="1" x14ac:dyDescent="0.25">
      <c r="A1" s="1" t="s">
        <v>0</v>
      </c>
      <c r="B1" s="1" t="s">
        <v>1</v>
      </c>
      <c r="C1" s="1" t="s">
        <v>2</v>
      </c>
      <c r="D1" s="1" t="s">
        <v>3</v>
      </c>
      <c r="E1" s="1" t="s">
        <v>4</v>
      </c>
      <c r="F1" s="1" t="s">
        <v>5</v>
      </c>
      <c r="G1" s="1" t="s">
        <v>6</v>
      </c>
      <c r="H1" s="1" t="s">
        <v>7</v>
      </c>
      <c r="I1" s="1" t="s">
        <v>8</v>
      </c>
      <c r="J1" s="1" t="s">
        <v>9</v>
      </c>
      <c r="K1" s="1" t="s">
        <v>10</v>
      </c>
      <c r="L1" s="1" t="s">
        <v>11</v>
      </c>
      <c r="M1" s="12" t="s">
        <v>12</v>
      </c>
      <c r="N1" s="1" t="s">
        <v>13</v>
      </c>
      <c r="O1" s="1" t="s">
        <v>14</v>
      </c>
    </row>
    <row r="2" spans="1:15" ht="15" customHeight="1" x14ac:dyDescent="0.25">
      <c r="A2" s="2" t="str">
        <f t="shared" ref="A2:A65" si="0">IF(B2="","",TEXT(B2-(WEEKDAY(B2,2)-1),"mmm d")&amp;" - "&amp;TEXT(B2-(WEEKDAY(B2,2)-1)+5,"mmm d"))</f>
        <v>Jun 29 - Jul 4</v>
      </c>
      <c r="B2" s="3">
        <v>46202</v>
      </c>
      <c r="C2" s="2" t="s">
        <v>15</v>
      </c>
      <c r="D2" s="2"/>
      <c r="E2" s="2" t="s">
        <v>15</v>
      </c>
      <c r="F2" s="2" t="s">
        <v>16</v>
      </c>
      <c r="G2" s="2" t="s">
        <v>17</v>
      </c>
      <c r="H2" s="2"/>
      <c r="I2" s="2"/>
      <c r="J2" s="2"/>
      <c r="K2" s="2" t="s">
        <v>18</v>
      </c>
      <c r="L2" s="2"/>
      <c r="M2" s="2"/>
      <c r="N2" s="3"/>
      <c r="O2" s="2" t="s">
        <v>19</v>
      </c>
    </row>
    <row r="3" spans="1:15" ht="15" customHeight="1" x14ac:dyDescent="0.25">
      <c r="A3" s="2" t="str">
        <f t="shared" si="0"/>
        <v>Jun 29 - Jul 4</v>
      </c>
      <c r="B3" s="3">
        <v>46202</v>
      </c>
      <c r="C3" s="2" t="s">
        <v>20</v>
      </c>
      <c r="D3" s="2"/>
      <c r="E3" s="2" t="s">
        <v>21</v>
      </c>
      <c r="F3" s="2" t="s">
        <v>22</v>
      </c>
      <c r="G3" s="2" t="s">
        <v>23</v>
      </c>
      <c r="H3" s="2"/>
      <c r="I3" s="2"/>
      <c r="J3" s="2" t="s">
        <v>24</v>
      </c>
      <c r="K3" s="2" t="s">
        <v>25</v>
      </c>
      <c r="L3" s="2"/>
      <c r="M3" s="2"/>
      <c r="N3" s="3"/>
      <c r="O3" s="2" t="s">
        <v>26</v>
      </c>
    </row>
    <row r="4" spans="1:15" ht="15" customHeight="1" x14ac:dyDescent="0.25">
      <c r="A4" s="2" t="str">
        <f t="shared" si="0"/>
        <v>Jun 29 - Jul 4</v>
      </c>
      <c r="B4" s="3">
        <v>46202</v>
      </c>
      <c r="C4" s="2" t="s">
        <v>27</v>
      </c>
      <c r="D4" s="2"/>
      <c r="E4" s="2" t="s">
        <v>28</v>
      </c>
      <c r="F4" s="2" t="s">
        <v>22</v>
      </c>
      <c r="G4" s="2" t="s">
        <v>23</v>
      </c>
      <c r="H4" s="2"/>
      <c r="I4" s="2"/>
      <c r="J4" s="2"/>
      <c r="K4" s="2" t="s">
        <v>25</v>
      </c>
      <c r="L4" s="2"/>
      <c r="M4" s="2"/>
      <c r="N4" s="3"/>
      <c r="O4" s="2" t="s">
        <v>29</v>
      </c>
    </row>
    <row r="5" spans="1:15" ht="15" customHeight="1" x14ac:dyDescent="0.25">
      <c r="A5" s="2" t="str">
        <f t="shared" si="0"/>
        <v>Jun 29 - Jul 4</v>
      </c>
      <c r="B5" s="3">
        <v>46202</v>
      </c>
      <c r="C5" s="2" t="s">
        <v>30</v>
      </c>
      <c r="D5" s="2"/>
      <c r="E5" s="2"/>
      <c r="F5" s="2" t="s">
        <v>31</v>
      </c>
      <c r="G5" s="2" t="s">
        <v>32</v>
      </c>
      <c r="H5" s="2"/>
      <c r="I5" s="2"/>
      <c r="J5" s="2"/>
      <c r="K5" s="2" t="s">
        <v>25</v>
      </c>
      <c r="L5" s="2"/>
      <c r="M5" s="2"/>
      <c r="N5" s="3"/>
      <c r="O5" s="2" t="s">
        <v>33</v>
      </c>
    </row>
    <row r="6" spans="1:15" ht="15" customHeight="1" x14ac:dyDescent="0.25">
      <c r="A6" s="2" t="str">
        <f t="shared" si="0"/>
        <v>Jun 29 - Jul 4</v>
      </c>
      <c r="B6" s="3">
        <v>46202</v>
      </c>
      <c r="C6" s="2" t="s">
        <v>34</v>
      </c>
      <c r="D6" s="2"/>
      <c r="E6" s="2"/>
      <c r="F6" s="2" t="s">
        <v>31</v>
      </c>
      <c r="G6" s="2" t="s">
        <v>23</v>
      </c>
      <c r="H6" s="2"/>
      <c r="I6" s="2"/>
      <c r="J6" s="2" t="s">
        <v>35</v>
      </c>
      <c r="K6" s="2" t="s">
        <v>18</v>
      </c>
      <c r="L6" s="2"/>
      <c r="M6" s="2"/>
      <c r="N6" s="3"/>
      <c r="O6" s="2" t="s">
        <v>36</v>
      </c>
    </row>
    <row r="7" spans="1:15" ht="15" customHeight="1" x14ac:dyDescent="0.25">
      <c r="A7" s="2" t="str">
        <f t="shared" si="0"/>
        <v>Jun 29 - Jul 4</v>
      </c>
      <c r="B7" s="3">
        <v>46202</v>
      </c>
      <c r="C7" s="2" t="s">
        <v>37</v>
      </c>
      <c r="D7" s="2"/>
      <c r="E7" s="2" t="s">
        <v>38</v>
      </c>
      <c r="F7" s="2" t="s">
        <v>39</v>
      </c>
      <c r="G7" s="2"/>
      <c r="H7" s="2"/>
      <c r="I7" s="2"/>
      <c r="J7" s="2"/>
      <c r="K7" s="2" t="s">
        <v>25</v>
      </c>
      <c r="L7" s="2"/>
      <c r="M7" s="2"/>
      <c r="N7" s="3"/>
      <c r="O7" s="2" t="s">
        <v>40</v>
      </c>
    </row>
    <row r="8" spans="1:15" ht="15" customHeight="1" x14ac:dyDescent="0.25">
      <c r="A8" s="2" t="str">
        <f t="shared" si="0"/>
        <v>Jun 29 - Jul 4</v>
      </c>
      <c r="B8" s="3">
        <v>46203</v>
      </c>
      <c r="C8" s="2" t="s">
        <v>41</v>
      </c>
      <c r="D8" s="2"/>
      <c r="E8" s="2" t="s">
        <v>42</v>
      </c>
      <c r="F8" s="2" t="s">
        <v>43</v>
      </c>
      <c r="G8" s="2" t="s">
        <v>44</v>
      </c>
      <c r="H8" s="2"/>
      <c r="I8" s="2"/>
      <c r="J8" s="2"/>
      <c r="K8" s="2" t="s">
        <v>25</v>
      </c>
      <c r="L8" s="2"/>
      <c r="M8" s="2"/>
      <c r="N8" s="3"/>
      <c r="O8" s="2" t="s">
        <v>45</v>
      </c>
    </row>
    <row r="9" spans="1:15" ht="15" customHeight="1" x14ac:dyDescent="0.25">
      <c r="A9" s="2" t="str">
        <f t="shared" si="0"/>
        <v>Jun 29 - Jul 4</v>
      </c>
      <c r="B9" s="3">
        <v>46203</v>
      </c>
      <c r="C9" s="2" t="s">
        <v>46</v>
      </c>
      <c r="D9" s="2"/>
      <c r="E9" s="2"/>
      <c r="F9" s="2" t="s">
        <v>31</v>
      </c>
      <c r="G9" s="2" t="s">
        <v>47</v>
      </c>
      <c r="H9" s="2"/>
      <c r="I9" s="2"/>
      <c r="J9" s="2"/>
      <c r="K9" s="2" t="s">
        <v>25</v>
      </c>
      <c r="L9" s="2"/>
      <c r="M9" s="2"/>
      <c r="N9" s="3"/>
      <c r="O9" s="2"/>
    </row>
    <row r="10" spans="1:15" ht="15" customHeight="1" x14ac:dyDescent="0.25">
      <c r="A10" s="2" t="str">
        <f t="shared" si="0"/>
        <v>Jun 29 - Jul 4</v>
      </c>
      <c r="B10" s="3">
        <v>46203</v>
      </c>
      <c r="C10" s="2" t="s">
        <v>48</v>
      </c>
      <c r="D10" s="4" t="s">
        <v>49</v>
      </c>
      <c r="E10" s="2" t="s">
        <v>50</v>
      </c>
      <c r="F10" s="2" t="s">
        <v>31</v>
      </c>
      <c r="G10" s="2" t="s">
        <v>32</v>
      </c>
      <c r="H10" s="2"/>
      <c r="I10" s="2"/>
      <c r="J10" s="2"/>
      <c r="K10" s="2" t="s">
        <v>25</v>
      </c>
      <c r="L10" s="2"/>
      <c r="M10" s="2"/>
      <c r="N10" s="3"/>
      <c r="O10" s="2" t="s">
        <v>51</v>
      </c>
    </row>
    <row r="11" spans="1:15" ht="15" customHeight="1" x14ac:dyDescent="0.25">
      <c r="A11" s="2" t="str">
        <f t="shared" si="0"/>
        <v>Jun 29 - Jul 4</v>
      </c>
      <c r="B11" s="3">
        <v>46203</v>
      </c>
      <c r="C11" s="2" t="s">
        <v>52</v>
      </c>
      <c r="D11" s="2"/>
      <c r="E11" s="2"/>
      <c r="F11" s="2" t="s">
        <v>31</v>
      </c>
      <c r="G11" s="2" t="s">
        <v>44</v>
      </c>
      <c r="H11" s="2"/>
      <c r="I11" s="2"/>
      <c r="J11" s="2"/>
      <c r="K11" s="2" t="s">
        <v>25</v>
      </c>
      <c r="L11" s="2"/>
      <c r="M11" s="2"/>
      <c r="N11" s="3"/>
      <c r="O11" s="2" t="s">
        <v>53</v>
      </c>
    </row>
    <row r="12" spans="1:15" ht="15" customHeight="1" x14ac:dyDescent="0.25">
      <c r="A12" s="2" t="str">
        <f t="shared" si="0"/>
        <v>Jun 29 - Jul 4</v>
      </c>
      <c r="B12" s="3">
        <v>46204</v>
      </c>
      <c r="C12" s="2" t="s">
        <v>54</v>
      </c>
      <c r="D12" s="2"/>
      <c r="E12" s="2"/>
      <c r="F12" s="2" t="s">
        <v>43</v>
      </c>
      <c r="G12" s="2" t="s">
        <v>23</v>
      </c>
      <c r="H12" s="2"/>
      <c r="I12" s="2"/>
      <c r="J12" s="2" t="s">
        <v>55</v>
      </c>
      <c r="K12" s="2" t="s">
        <v>25</v>
      </c>
      <c r="L12" s="2"/>
      <c r="M12" s="2"/>
      <c r="N12" s="3"/>
      <c r="O12" s="2" t="s">
        <v>56</v>
      </c>
    </row>
    <row r="13" spans="1:15" ht="15" customHeight="1" x14ac:dyDescent="0.25">
      <c r="A13" s="2" t="str">
        <f t="shared" si="0"/>
        <v>Jun 29 - Jul 4</v>
      </c>
      <c r="B13" s="3">
        <v>46204</v>
      </c>
      <c r="C13" s="2" t="s">
        <v>57</v>
      </c>
      <c r="D13" s="2"/>
      <c r="E13" s="2" t="s">
        <v>58</v>
      </c>
      <c r="F13" s="2" t="s">
        <v>43</v>
      </c>
      <c r="G13" s="2" t="s">
        <v>23</v>
      </c>
      <c r="H13" s="2"/>
      <c r="I13" s="2"/>
      <c r="J13" s="2" t="s">
        <v>59</v>
      </c>
      <c r="K13" s="2" t="s">
        <v>25</v>
      </c>
      <c r="L13" s="2"/>
      <c r="M13" s="2"/>
      <c r="N13" s="3"/>
      <c r="O13" s="2" t="s">
        <v>60</v>
      </c>
    </row>
    <row r="14" spans="1:15" ht="15" customHeight="1" x14ac:dyDescent="0.25">
      <c r="A14" s="2" t="str">
        <f t="shared" si="0"/>
        <v>Jun 29 - Jul 4</v>
      </c>
      <c r="B14" s="3">
        <v>46204</v>
      </c>
      <c r="C14" s="2" t="s">
        <v>61</v>
      </c>
      <c r="D14" s="2"/>
      <c r="E14" s="2"/>
      <c r="F14" s="2" t="s">
        <v>31</v>
      </c>
      <c r="G14" s="2" t="s">
        <v>32</v>
      </c>
      <c r="H14" s="2"/>
      <c r="I14" s="2"/>
      <c r="J14" s="2"/>
      <c r="K14" s="2" t="s">
        <v>25</v>
      </c>
      <c r="L14" s="2"/>
      <c r="M14" s="2"/>
      <c r="N14" s="3"/>
      <c r="O14" s="2" t="s">
        <v>62</v>
      </c>
    </row>
    <row r="15" spans="1:15" ht="15" customHeight="1" x14ac:dyDescent="0.25">
      <c r="A15" s="2" t="str">
        <f t="shared" si="0"/>
        <v>Jun 29 - Jul 4</v>
      </c>
      <c r="B15" s="3">
        <v>46204</v>
      </c>
      <c r="C15" s="2" t="s">
        <v>63</v>
      </c>
      <c r="D15" s="2"/>
      <c r="E15" s="2"/>
      <c r="F15" s="2" t="s">
        <v>31</v>
      </c>
      <c r="G15" s="2" t="s">
        <v>23</v>
      </c>
      <c r="H15" s="2"/>
      <c r="I15" s="2"/>
      <c r="J15" s="2" t="s">
        <v>64</v>
      </c>
      <c r="K15" s="2" t="s">
        <v>25</v>
      </c>
      <c r="L15" s="2"/>
      <c r="M15" s="2"/>
      <c r="N15" s="3"/>
      <c r="O15" s="2" t="s">
        <v>65</v>
      </c>
    </row>
    <row r="16" spans="1:15" ht="15" customHeight="1" x14ac:dyDescent="0.25">
      <c r="A16" s="2" t="str">
        <f t="shared" si="0"/>
        <v>Jun 29 - Jul 4</v>
      </c>
      <c r="B16" s="3">
        <v>46205</v>
      </c>
      <c r="C16" s="2" t="s">
        <v>66</v>
      </c>
      <c r="D16" s="2"/>
      <c r="E16" s="2"/>
      <c r="F16" s="2" t="s">
        <v>43</v>
      </c>
      <c r="G16" s="2" t="s">
        <v>47</v>
      </c>
      <c r="H16" s="2"/>
      <c r="I16" s="2"/>
      <c r="J16" s="2"/>
      <c r="K16" s="2" t="s">
        <v>25</v>
      </c>
      <c r="L16" s="2"/>
      <c r="M16" s="2"/>
      <c r="N16" s="3"/>
      <c r="O16" s="2" t="s">
        <v>67</v>
      </c>
    </row>
    <row r="17" spans="1:15" ht="15" customHeight="1" x14ac:dyDescent="0.25">
      <c r="A17" s="2" t="str">
        <f t="shared" si="0"/>
        <v>Jun 29 - Jul 4</v>
      </c>
      <c r="B17" s="3">
        <v>46205</v>
      </c>
      <c r="C17" s="2" t="s">
        <v>68</v>
      </c>
      <c r="D17" s="2"/>
      <c r="E17" s="2"/>
      <c r="F17" s="2" t="s">
        <v>31</v>
      </c>
      <c r="G17" s="2" t="s">
        <v>39</v>
      </c>
      <c r="H17" s="2"/>
      <c r="I17" s="2"/>
      <c r="J17" s="2"/>
      <c r="K17" s="2" t="s">
        <v>25</v>
      </c>
      <c r="L17" s="2"/>
      <c r="M17" s="2"/>
      <c r="N17" s="3"/>
      <c r="O17" s="2" t="s">
        <v>69</v>
      </c>
    </row>
    <row r="18" spans="1:15" ht="15" customHeight="1" x14ac:dyDescent="0.25">
      <c r="A18" s="2" t="str">
        <f t="shared" si="0"/>
        <v>Jun 29 - Jul 4</v>
      </c>
      <c r="B18" s="3">
        <v>46205</v>
      </c>
      <c r="C18" s="2" t="s">
        <v>70</v>
      </c>
      <c r="D18" s="2"/>
      <c r="E18" s="2"/>
      <c r="F18" s="2" t="s">
        <v>31</v>
      </c>
      <c r="G18" s="2" t="s">
        <v>32</v>
      </c>
      <c r="H18" s="2"/>
      <c r="I18" s="2"/>
      <c r="J18" s="2"/>
      <c r="K18" s="2" t="s">
        <v>25</v>
      </c>
      <c r="L18" s="2"/>
      <c r="M18" s="2"/>
      <c r="N18" s="3"/>
      <c r="O18" s="2" t="s">
        <v>71</v>
      </c>
    </row>
    <row r="19" spans="1:15" ht="15" customHeight="1" x14ac:dyDescent="0.25">
      <c r="A19" s="2" t="str">
        <f t="shared" si="0"/>
        <v>Jun 29 - Jul 4</v>
      </c>
      <c r="B19" s="3">
        <v>46205</v>
      </c>
      <c r="C19" s="2" t="s">
        <v>72</v>
      </c>
      <c r="D19" s="2"/>
      <c r="E19" s="2"/>
      <c r="F19" s="2" t="s">
        <v>31</v>
      </c>
      <c r="G19" s="2" t="s">
        <v>39</v>
      </c>
      <c r="H19" s="2"/>
      <c r="I19" s="2"/>
      <c r="J19" s="2"/>
      <c r="K19" s="2" t="s">
        <v>18</v>
      </c>
      <c r="L19" s="2"/>
      <c r="M19" s="2"/>
      <c r="N19" s="3"/>
      <c r="O19" s="2" t="s">
        <v>73</v>
      </c>
    </row>
    <row r="20" spans="1:15" ht="15" customHeight="1" x14ac:dyDescent="0.25">
      <c r="A20" s="2" t="str">
        <f t="shared" si="0"/>
        <v>Jun 29 - Jul 4</v>
      </c>
      <c r="B20" s="3">
        <v>46206</v>
      </c>
      <c r="C20" s="2" t="s">
        <v>74</v>
      </c>
      <c r="D20" s="2"/>
      <c r="E20" s="2" t="s">
        <v>75</v>
      </c>
      <c r="F20" s="2" t="s">
        <v>22</v>
      </c>
      <c r="G20" s="2" t="s">
        <v>23</v>
      </c>
      <c r="H20" s="2"/>
      <c r="I20" s="2"/>
      <c r="J20" s="2" t="s">
        <v>76</v>
      </c>
      <c r="K20" s="2" t="s">
        <v>25</v>
      </c>
      <c r="L20" s="2"/>
      <c r="M20" s="2"/>
      <c r="N20" s="3"/>
      <c r="O20" s="2" t="s">
        <v>77</v>
      </c>
    </row>
    <row r="21" spans="1:15" ht="15" customHeight="1" x14ac:dyDescent="0.25">
      <c r="A21" s="2" t="str">
        <f t="shared" si="0"/>
        <v>Jun 29 - Jul 4</v>
      </c>
      <c r="B21" s="3">
        <v>46206</v>
      </c>
      <c r="C21" s="2" t="s">
        <v>78</v>
      </c>
      <c r="D21" s="2"/>
      <c r="E21" s="2" t="s">
        <v>79</v>
      </c>
      <c r="F21" s="2" t="s">
        <v>39</v>
      </c>
      <c r="G21" s="2" t="s">
        <v>47</v>
      </c>
      <c r="H21" s="2"/>
      <c r="I21" s="2"/>
      <c r="J21" s="2"/>
      <c r="K21" s="2" t="s">
        <v>25</v>
      </c>
      <c r="L21" s="2"/>
      <c r="M21" s="2"/>
      <c r="N21" s="3"/>
      <c r="O21" s="2" t="s">
        <v>80</v>
      </c>
    </row>
    <row r="22" spans="1:15" ht="15" customHeight="1" x14ac:dyDescent="0.25">
      <c r="A22" s="2" t="str">
        <f t="shared" si="0"/>
        <v>Jun 29 - Jul 4</v>
      </c>
      <c r="B22" s="3">
        <v>46206</v>
      </c>
      <c r="C22" s="2" t="s">
        <v>81</v>
      </c>
      <c r="D22" s="2"/>
      <c r="E22" s="2"/>
      <c r="F22" s="2" t="s">
        <v>43</v>
      </c>
      <c r="G22" s="2" t="s">
        <v>23</v>
      </c>
      <c r="H22" s="2"/>
      <c r="I22" s="2"/>
      <c r="J22" s="2" t="s">
        <v>82</v>
      </c>
      <c r="K22" s="2" t="s">
        <v>25</v>
      </c>
      <c r="L22" s="2"/>
      <c r="M22" s="2"/>
      <c r="N22" s="3"/>
      <c r="O22" s="2" t="s">
        <v>83</v>
      </c>
    </row>
    <row r="23" spans="1:15" ht="15" customHeight="1" x14ac:dyDescent="0.25">
      <c r="A23" s="2" t="str">
        <f t="shared" si="0"/>
        <v>Jun 29 - Jul 4</v>
      </c>
      <c r="B23" s="3">
        <v>46206</v>
      </c>
      <c r="C23" s="2" t="s">
        <v>84</v>
      </c>
      <c r="D23" s="2"/>
      <c r="E23" s="2" t="s">
        <v>85</v>
      </c>
      <c r="F23" s="2" t="s">
        <v>22</v>
      </c>
      <c r="G23" s="2"/>
      <c r="H23" s="2"/>
      <c r="I23" s="2"/>
      <c r="J23" s="2"/>
      <c r="K23" s="2" t="s">
        <v>25</v>
      </c>
      <c r="L23" s="2"/>
      <c r="M23" s="2"/>
      <c r="N23" s="3"/>
      <c r="O23" s="2" t="s">
        <v>86</v>
      </c>
    </row>
    <row r="24" spans="1:15" ht="15" customHeight="1" x14ac:dyDescent="0.25">
      <c r="A24" s="2" t="str">
        <f t="shared" si="0"/>
        <v>Jun 29 - Jul 4</v>
      </c>
      <c r="B24" s="3">
        <v>46206</v>
      </c>
      <c r="C24" s="2" t="s">
        <v>87</v>
      </c>
      <c r="D24" s="2"/>
      <c r="E24" s="2" t="s">
        <v>88</v>
      </c>
      <c r="F24" s="2" t="s">
        <v>89</v>
      </c>
      <c r="G24" s="2" t="s">
        <v>23</v>
      </c>
      <c r="H24" s="2"/>
      <c r="I24" s="2"/>
      <c r="J24" s="2" t="s">
        <v>90</v>
      </c>
      <c r="K24" s="2" t="s">
        <v>25</v>
      </c>
      <c r="L24" s="2"/>
      <c r="M24" s="2"/>
      <c r="N24" s="3">
        <v>46220</v>
      </c>
      <c r="O24" s="2" t="s">
        <v>91</v>
      </c>
    </row>
    <row r="25" spans="1:15" ht="15" customHeight="1" x14ac:dyDescent="0.25">
      <c r="A25" s="2" t="str">
        <f t="shared" si="0"/>
        <v>Jul 6 - Jul 11</v>
      </c>
      <c r="B25" s="3">
        <v>46209</v>
      </c>
      <c r="C25" s="2" t="s">
        <v>92</v>
      </c>
      <c r="D25" s="4" t="s">
        <v>93</v>
      </c>
      <c r="E25" s="2"/>
      <c r="F25" s="2" t="s">
        <v>31</v>
      </c>
      <c r="G25" s="2" t="s">
        <v>32</v>
      </c>
      <c r="H25" s="2"/>
      <c r="I25" s="2"/>
      <c r="J25" s="2"/>
      <c r="K25" s="2" t="s">
        <v>25</v>
      </c>
      <c r="L25" s="2"/>
      <c r="M25" s="2"/>
      <c r="N25" s="3"/>
      <c r="O25" s="2" t="s">
        <v>94</v>
      </c>
    </row>
    <row r="26" spans="1:15" ht="15" customHeight="1" x14ac:dyDescent="0.25">
      <c r="A26" s="2" t="str">
        <f t="shared" si="0"/>
        <v>Jul 6 - Jul 11</v>
      </c>
      <c r="B26" s="3">
        <v>46209</v>
      </c>
      <c r="C26" s="2" t="s">
        <v>95</v>
      </c>
      <c r="D26" s="4" t="s">
        <v>96</v>
      </c>
      <c r="E26" s="2"/>
      <c r="F26" s="2" t="s">
        <v>31</v>
      </c>
      <c r="G26" s="2" t="s">
        <v>32</v>
      </c>
      <c r="H26" s="2"/>
      <c r="I26" s="2"/>
      <c r="J26" s="2"/>
      <c r="K26" s="2" t="s">
        <v>18</v>
      </c>
      <c r="L26" s="2"/>
      <c r="M26" s="2"/>
      <c r="N26" s="3"/>
      <c r="O26" s="2" t="s">
        <v>97</v>
      </c>
    </row>
    <row r="27" spans="1:15" ht="15" customHeight="1" x14ac:dyDescent="0.25">
      <c r="A27" s="2" t="str">
        <f t="shared" si="0"/>
        <v>Jul 6 - Jul 11</v>
      </c>
      <c r="B27" s="3">
        <v>46209</v>
      </c>
      <c r="C27" s="2" t="s">
        <v>98</v>
      </c>
      <c r="D27" s="4" t="s">
        <v>99</v>
      </c>
      <c r="E27" s="2"/>
      <c r="F27" s="2" t="s">
        <v>31</v>
      </c>
      <c r="G27" s="2" t="s">
        <v>32</v>
      </c>
      <c r="H27" s="2"/>
      <c r="I27" s="2"/>
      <c r="J27" s="2"/>
      <c r="K27" s="2"/>
      <c r="L27" s="2"/>
      <c r="M27" s="2"/>
      <c r="N27" s="3"/>
      <c r="O27" s="2" t="s">
        <v>100</v>
      </c>
    </row>
    <row r="28" spans="1:15" ht="15" customHeight="1" x14ac:dyDescent="0.25">
      <c r="A28" s="2" t="str">
        <f t="shared" si="0"/>
        <v>Jul 6 - Jul 11</v>
      </c>
      <c r="B28" s="3">
        <v>46209</v>
      </c>
      <c r="C28" s="2" t="s">
        <v>98</v>
      </c>
      <c r="D28" s="2"/>
      <c r="E28" s="2"/>
      <c r="F28" s="2" t="s">
        <v>31</v>
      </c>
      <c r="G28" s="2" t="s">
        <v>32</v>
      </c>
      <c r="H28" s="2"/>
      <c r="I28" s="2"/>
      <c r="J28" s="2"/>
      <c r="K28" s="2" t="s">
        <v>18</v>
      </c>
      <c r="L28" s="2"/>
      <c r="M28" s="2"/>
      <c r="N28" s="3">
        <v>46219</v>
      </c>
      <c r="O28" s="2" t="s">
        <v>101</v>
      </c>
    </row>
    <row r="29" spans="1:15" ht="15" customHeight="1" x14ac:dyDescent="0.25">
      <c r="A29" s="2" t="str">
        <f t="shared" si="0"/>
        <v>Jul 6 - Jul 11</v>
      </c>
      <c r="B29" s="3">
        <v>46209</v>
      </c>
      <c r="C29" s="2" t="s">
        <v>54</v>
      </c>
      <c r="D29" s="2"/>
      <c r="E29" s="2"/>
      <c r="F29" s="2" t="s">
        <v>43</v>
      </c>
      <c r="G29" s="2" t="s">
        <v>102</v>
      </c>
      <c r="H29" s="2"/>
      <c r="I29" s="2"/>
      <c r="J29" s="2"/>
      <c r="K29" s="2" t="s">
        <v>25</v>
      </c>
      <c r="L29" s="2"/>
      <c r="M29" s="2"/>
      <c r="N29" s="3"/>
      <c r="O29" s="2" t="s">
        <v>103</v>
      </c>
    </row>
    <row r="30" spans="1:15" ht="15" customHeight="1" x14ac:dyDescent="0.25">
      <c r="A30" s="2" t="str">
        <f t="shared" si="0"/>
        <v>Jul 6 - Jul 11</v>
      </c>
      <c r="B30" s="3">
        <v>46209</v>
      </c>
      <c r="C30" s="2" t="s">
        <v>48</v>
      </c>
      <c r="D30" s="4" t="s">
        <v>49</v>
      </c>
      <c r="E30" s="2" t="s">
        <v>50</v>
      </c>
      <c r="F30" s="2" t="s">
        <v>31</v>
      </c>
      <c r="G30" s="2" t="s">
        <v>32</v>
      </c>
      <c r="H30" s="2"/>
      <c r="I30" s="2"/>
      <c r="J30" s="2"/>
      <c r="K30" s="2" t="s">
        <v>25</v>
      </c>
      <c r="L30" s="2"/>
      <c r="M30" s="2"/>
      <c r="N30" s="3">
        <v>46232</v>
      </c>
      <c r="O30" s="2" t="s">
        <v>51</v>
      </c>
    </row>
    <row r="31" spans="1:15" ht="15" customHeight="1" x14ac:dyDescent="0.25">
      <c r="A31" s="2" t="str">
        <f t="shared" si="0"/>
        <v>Jul 6 - Jul 11</v>
      </c>
      <c r="B31" s="3">
        <v>46209</v>
      </c>
      <c r="C31" s="2" t="s">
        <v>61</v>
      </c>
      <c r="D31" s="2"/>
      <c r="E31" s="2"/>
      <c r="F31" s="2" t="s">
        <v>31</v>
      </c>
      <c r="G31" s="2" t="s">
        <v>32</v>
      </c>
      <c r="H31" s="2"/>
      <c r="I31" s="2"/>
      <c r="J31" s="2"/>
      <c r="K31" s="2" t="s">
        <v>18</v>
      </c>
      <c r="L31" s="2"/>
      <c r="M31" s="2"/>
      <c r="N31" s="3">
        <v>46222</v>
      </c>
      <c r="O31" s="2" t="s">
        <v>62</v>
      </c>
    </row>
    <row r="32" spans="1:15" ht="15" customHeight="1" x14ac:dyDescent="0.25">
      <c r="A32" s="2" t="str">
        <f t="shared" si="0"/>
        <v>Jul 6 - Jul 11</v>
      </c>
      <c r="B32" s="3">
        <v>46210</v>
      </c>
      <c r="C32" s="2" t="s">
        <v>104</v>
      </c>
      <c r="D32" s="4" t="s">
        <v>105</v>
      </c>
      <c r="E32" s="2"/>
      <c r="F32" s="2" t="s">
        <v>31</v>
      </c>
      <c r="G32" s="2" t="s">
        <v>32</v>
      </c>
      <c r="H32" s="2"/>
      <c r="I32" s="2"/>
      <c r="J32" s="2"/>
      <c r="K32" s="2" t="s">
        <v>25</v>
      </c>
      <c r="L32" s="2"/>
      <c r="M32" s="2"/>
      <c r="N32" s="3">
        <v>46233</v>
      </c>
      <c r="O32" s="5" t="s">
        <v>106</v>
      </c>
    </row>
    <row r="33" spans="1:15" ht="15" customHeight="1" x14ac:dyDescent="0.25">
      <c r="A33" s="2" t="str">
        <f t="shared" si="0"/>
        <v>Jul 6 - Jul 11</v>
      </c>
      <c r="B33" s="3">
        <v>46210</v>
      </c>
      <c r="C33" s="2" t="s">
        <v>107</v>
      </c>
      <c r="D33" s="4" t="s">
        <v>108</v>
      </c>
      <c r="E33" s="2" t="s">
        <v>109</v>
      </c>
      <c r="F33" s="2" t="s">
        <v>31</v>
      </c>
      <c r="G33" s="2" t="s">
        <v>32</v>
      </c>
      <c r="H33" s="2"/>
      <c r="I33" s="2"/>
      <c r="J33" s="2"/>
      <c r="K33" s="2"/>
      <c r="L33" s="2"/>
      <c r="M33" s="2"/>
      <c r="N33" s="3"/>
      <c r="O33" s="2" t="s">
        <v>110</v>
      </c>
    </row>
    <row r="34" spans="1:15" ht="15" customHeight="1" x14ac:dyDescent="0.25">
      <c r="A34" s="2" t="str">
        <f t="shared" si="0"/>
        <v>Jul 6 - Jul 11</v>
      </c>
      <c r="B34" s="3">
        <v>46210</v>
      </c>
      <c r="C34" s="2" t="s">
        <v>111</v>
      </c>
      <c r="D34" s="4" t="s">
        <v>112</v>
      </c>
      <c r="E34" s="2"/>
      <c r="F34" s="2" t="s">
        <v>43</v>
      </c>
      <c r="G34" s="2" t="s">
        <v>113</v>
      </c>
      <c r="H34" s="2"/>
      <c r="I34" s="2"/>
      <c r="J34" s="2"/>
      <c r="K34" s="2" t="s">
        <v>25</v>
      </c>
      <c r="L34" s="2"/>
      <c r="M34" s="2"/>
      <c r="N34" s="3"/>
      <c r="O34" s="2" t="s">
        <v>114</v>
      </c>
    </row>
    <row r="35" spans="1:15" ht="15" customHeight="1" x14ac:dyDescent="0.25">
      <c r="A35" s="2" t="str">
        <f t="shared" si="0"/>
        <v>Jul 6 - Jul 11</v>
      </c>
      <c r="B35" s="3">
        <v>46210</v>
      </c>
      <c r="C35" s="2" t="s">
        <v>70</v>
      </c>
      <c r="D35" s="2"/>
      <c r="E35" s="2"/>
      <c r="F35" s="2" t="s">
        <v>31</v>
      </c>
      <c r="G35" s="2" t="s">
        <v>32</v>
      </c>
      <c r="H35" s="2"/>
      <c r="I35" s="2"/>
      <c r="J35" s="2"/>
      <c r="K35" s="2" t="s">
        <v>25</v>
      </c>
      <c r="L35" s="2"/>
      <c r="M35" s="2"/>
      <c r="N35" s="3">
        <v>46223</v>
      </c>
      <c r="O35" s="2" t="s">
        <v>115</v>
      </c>
    </row>
    <row r="36" spans="1:15" ht="15" customHeight="1" x14ac:dyDescent="0.25">
      <c r="A36" s="2" t="str">
        <f t="shared" si="0"/>
        <v>Jul 6 - Jul 11</v>
      </c>
      <c r="B36" s="3">
        <v>46210</v>
      </c>
      <c r="C36" s="2" t="s">
        <v>116</v>
      </c>
      <c r="D36" s="2"/>
      <c r="E36" s="2" t="s">
        <v>117</v>
      </c>
      <c r="F36" s="2" t="s">
        <v>118</v>
      </c>
      <c r="G36" s="2" t="s">
        <v>23</v>
      </c>
      <c r="H36" s="2"/>
      <c r="I36" s="2"/>
      <c r="J36" s="2"/>
      <c r="K36" s="2" t="s">
        <v>25</v>
      </c>
      <c r="L36" s="2"/>
      <c r="M36" s="2"/>
      <c r="N36" s="3"/>
      <c r="O36" s="2" t="s">
        <v>119</v>
      </c>
    </row>
    <row r="37" spans="1:15" ht="15" customHeight="1" x14ac:dyDescent="0.25">
      <c r="A37" s="2" t="str">
        <f t="shared" si="0"/>
        <v>Jul 6 - Jul 11</v>
      </c>
      <c r="B37" s="3">
        <v>46211</v>
      </c>
      <c r="C37" s="2" t="s">
        <v>120</v>
      </c>
      <c r="D37" s="2"/>
      <c r="E37" s="2"/>
      <c r="F37" s="2" t="s">
        <v>31</v>
      </c>
      <c r="G37" s="2" t="s">
        <v>32</v>
      </c>
      <c r="H37" s="2"/>
      <c r="I37" s="2"/>
      <c r="J37" s="2"/>
      <c r="K37" s="2" t="s">
        <v>25</v>
      </c>
      <c r="L37" s="2"/>
      <c r="M37" s="2"/>
      <c r="N37" s="3">
        <v>46219</v>
      </c>
      <c r="O37" s="2" t="s">
        <v>121</v>
      </c>
    </row>
    <row r="38" spans="1:15" ht="15" customHeight="1" x14ac:dyDescent="0.25">
      <c r="A38" s="2" t="str">
        <f t="shared" si="0"/>
        <v>Jul 6 - Jul 11</v>
      </c>
      <c r="B38" s="3">
        <v>46211</v>
      </c>
      <c r="C38" s="5" t="s">
        <v>122</v>
      </c>
      <c r="D38" s="4" t="s">
        <v>123</v>
      </c>
      <c r="E38" s="2"/>
      <c r="F38" s="2" t="s">
        <v>31</v>
      </c>
      <c r="G38" s="2" t="s">
        <v>32</v>
      </c>
      <c r="H38" s="2"/>
      <c r="I38" s="2"/>
      <c r="J38" s="2"/>
      <c r="K38" s="2" t="s">
        <v>25</v>
      </c>
      <c r="L38" s="2"/>
      <c r="M38" s="2"/>
      <c r="N38" s="3"/>
      <c r="O38" s="5" t="s">
        <v>124</v>
      </c>
    </row>
    <row r="39" spans="1:15" ht="15" customHeight="1" x14ac:dyDescent="0.25">
      <c r="A39" s="2" t="str">
        <f t="shared" si="0"/>
        <v>Jul 6 - Jul 11</v>
      </c>
      <c r="B39" s="3">
        <v>46211</v>
      </c>
      <c r="C39" s="2" t="s">
        <v>125</v>
      </c>
      <c r="D39" s="4" t="s">
        <v>126</v>
      </c>
      <c r="E39" s="2" t="s">
        <v>127</v>
      </c>
      <c r="F39" s="2" t="s">
        <v>43</v>
      </c>
      <c r="G39" s="2" t="s">
        <v>113</v>
      </c>
      <c r="H39" s="2"/>
      <c r="I39" s="2"/>
      <c r="J39" s="2"/>
      <c r="K39" s="2" t="s">
        <v>18</v>
      </c>
      <c r="L39" s="2"/>
      <c r="M39" s="2"/>
      <c r="N39" s="3">
        <v>46219</v>
      </c>
      <c r="O39" s="2" t="s">
        <v>128</v>
      </c>
    </row>
    <row r="40" spans="1:15" ht="15" customHeight="1" x14ac:dyDescent="0.25">
      <c r="A40" s="2" t="str">
        <f t="shared" si="0"/>
        <v>Jul 6 - Jul 11</v>
      </c>
      <c r="B40" s="3">
        <v>46211</v>
      </c>
      <c r="C40" s="2" t="s">
        <v>48</v>
      </c>
      <c r="D40" s="2"/>
      <c r="E40" s="2" t="s">
        <v>50</v>
      </c>
      <c r="F40" s="2" t="s">
        <v>31</v>
      </c>
      <c r="G40" s="2" t="s">
        <v>32</v>
      </c>
      <c r="H40" s="2"/>
      <c r="I40" s="2"/>
      <c r="J40" s="2"/>
      <c r="K40" s="2" t="s">
        <v>25</v>
      </c>
      <c r="L40" s="2"/>
      <c r="M40" s="2"/>
      <c r="N40" s="3"/>
      <c r="O40" s="2" t="s">
        <v>129</v>
      </c>
    </row>
    <row r="41" spans="1:15" ht="15" customHeight="1" x14ac:dyDescent="0.25">
      <c r="A41" s="2" t="str">
        <f t="shared" si="0"/>
        <v>Jul 6 - Jul 11</v>
      </c>
      <c r="B41" s="3">
        <v>46211</v>
      </c>
      <c r="C41" s="2" t="s">
        <v>130</v>
      </c>
      <c r="D41" s="2"/>
      <c r="E41" s="2" t="s">
        <v>131</v>
      </c>
      <c r="F41" s="2" t="s">
        <v>22</v>
      </c>
      <c r="G41" s="2" t="s">
        <v>23</v>
      </c>
      <c r="H41" s="2"/>
      <c r="I41" s="2"/>
      <c r="J41" s="2"/>
      <c r="K41" s="2" t="s">
        <v>25</v>
      </c>
      <c r="L41" s="2"/>
      <c r="M41" s="2"/>
      <c r="N41" s="3"/>
      <c r="O41" s="2" t="s">
        <v>132</v>
      </c>
    </row>
    <row r="42" spans="1:15" ht="15" customHeight="1" x14ac:dyDescent="0.25">
      <c r="A42" s="2" t="str">
        <f t="shared" si="0"/>
        <v>Jul 6 - Jul 11</v>
      </c>
      <c r="B42" s="3">
        <v>46211</v>
      </c>
      <c r="C42" s="2" t="s">
        <v>133</v>
      </c>
      <c r="D42" s="2"/>
      <c r="E42" s="2" t="s">
        <v>134</v>
      </c>
      <c r="F42" s="2" t="s">
        <v>43</v>
      </c>
      <c r="G42" s="2" t="s">
        <v>135</v>
      </c>
      <c r="H42" s="2"/>
      <c r="I42" s="2"/>
      <c r="J42" s="2"/>
      <c r="K42" s="2" t="s">
        <v>25</v>
      </c>
      <c r="L42" s="2"/>
      <c r="M42" s="2"/>
      <c r="N42" s="3"/>
      <c r="O42" s="2" t="s">
        <v>136</v>
      </c>
    </row>
    <row r="43" spans="1:15" ht="15" customHeight="1" x14ac:dyDescent="0.25">
      <c r="A43" s="2" t="str">
        <f t="shared" si="0"/>
        <v>Jul 6 - Jul 11</v>
      </c>
      <c r="B43" s="3">
        <v>46212</v>
      </c>
      <c r="C43" s="2" t="s">
        <v>137</v>
      </c>
      <c r="D43" s="4" t="s">
        <v>138</v>
      </c>
      <c r="E43" s="2"/>
      <c r="F43" s="2" t="s">
        <v>31</v>
      </c>
      <c r="G43" s="2" t="s">
        <v>32</v>
      </c>
      <c r="H43" s="2"/>
      <c r="I43" s="2"/>
      <c r="J43" s="2"/>
      <c r="K43" s="2" t="s">
        <v>25</v>
      </c>
      <c r="L43" s="2"/>
      <c r="M43" s="2"/>
      <c r="N43" s="3"/>
      <c r="O43" s="5" t="s">
        <v>139</v>
      </c>
    </row>
    <row r="44" spans="1:15" ht="15" customHeight="1" x14ac:dyDescent="0.25">
      <c r="A44" s="2" t="str">
        <f t="shared" si="0"/>
        <v>Jul 6 - Jul 11</v>
      </c>
      <c r="B44" s="3">
        <v>46212</v>
      </c>
      <c r="C44" s="2" t="s">
        <v>140</v>
      </c>
      <c r="D44" s="4" t="s">
        <v>141</v>
      </c>
      <c r="E44" s="2"/>
      <c r="F44" s="2" t="s">
        <v>31</v>
      </c>
      <c r="G44" s="2" t="s">
        <v>32</v>
      </c>
      <c r="H44" s="2"/>
      <c r="I44" s="2"/>
      <c r="J44" s="2"/>
      <c r="K44" s="2" t="s">
        <v>25</v>
      </c>
      <c r="L44" s="2"/>
      <c r="M44" s="2"/>
      <c r="N44" s="3"/>
      <c r="O44" s="5" t="s">
        <v>142</v>
      </c>
    </row>
    <row r="45" spans="1:15" ht="15" customHeight="1" x14ac:dyDescent="0.25">
      <c r="A45" s="2" t="str">
        <f t="shared" si="0"/>
        <v>Jul 6 - Jul 11</v>
      </c>
      <c r="B45" s="3">
        <v>46212</v>
      </c>
      <c r="C45" s="2" t="s">
        <v>143</v>
      </c>
      <c r="D45" s="4" t="s">
        <v>144</v>
      </c>
      <c r="E45" s="2"/>
      <c r="F45" s="2" t="s">
        <v>16</v>
      </c>
      <c r="G45" s="2" t="s">
        <v>113</v>
      </c>
      <c r="H45" s="2"/>
      <c r="I45" s="2"/>
      <c r="J45" s="2"/>
      <c r="K45" s="2" t="s">
        <v>25</v>
      </c>
      <c r="L45" s="2"/>
      <c r="M45" s="2"/>
      <c r="N45" s="3"/>
      <c r="O45" s="2" t="s">
        <v>145</v>
      </c>
    </row>
    <row r="46" spans="1:15" ht="15" customHeight="1" x14ac:dyDescent="0.25">
      <c r="A46" s="2" t="str">
        <f t="shared" si="0"/>
        <v>Jul 6 - Jul 11</v>
      </c>
      <c r="B46" s="3">
        <v>46212</v>
      </c>
      <c r="C46" s="2" t="s">
        <v>146</v>
      </c>
      <c r="D46" s="4" t="s">
        <v>147</v>
      </c>
      <c r="E46" s="2"/>
      <c r="F46" s="2" t="s">
        <v>43</v>
      </c>
      <c r="G46" s="2" t="s">
        <v>113</v>
      </c>
      <c r="H46" s="2"/>
      <c r="I46" s="2"/>
      <c r="J46" s="2"/>
      <c r="K46" s="2" t="s">
        <v>25</v>
      </c>
      <c r="L46" s="2"/>
      <c r="M46" s="2"/>
      <c r="N46" s="3"/>
      <c r="O46" s="2" t="s">
        <v>148</v>
      </c>
    </row>
    <row r="47" spans="1:15" ht="15" customHeight="1" x14ac:dyDescent="0.25">
      <c r="A47" s="2" t="str">
        <f t="shared" si="0"/>
        <v>Jul 6 - Jul 11</v>
      </c>
      <c r="B47" s="3">
        <v>46212</v>
      </c>
      <c r="C47" s="2" t="s">
        <v>52</v>
      </c>
      <c r="D47" s="2"/>
      <c r="E47" s="2"/>
      <c r="F47" s="2" t="s">
        <v>31</v>
      </c>
      <c r="G47" s="2" t="s">
        <v>44</v>
      </c>
      <c r="H47" s="2"/>
      <c r="I47" s="2"/>
      <c r="J47" s="2"/>
      <c r="K47" s="2" t="s">
        <v>18</v>
      </c>
      <c r="L47" s="2"/>
      <c r="M47" s="2"/>
      <c r="N47" s="3"/>
      <c r="O47" s="2" t="s">
        <v>149</v>
      </c>
    </row>
    <row r="48" spans="1:15" ht="15" customHeight="1" x14ac:dyDescent="0.25">
      <c r="A48" s="2" t="str">
        <f t="shared" si="0"/>
        <v>Jul 6 - Jul 11</v>
      </c>
      <c r="B48" s="3">
        <v>46212</v>
      </c>
      <c r="C48" s="2" t="s">
        <v>27</v>
      </c>
      <c r="D48" s="2"/>
      <c r="E48" s="2" t="s">
        <v>131</v>
      </c>
      <c r="F48" s="2" t="s">
        <v>22</v>
      </c>
      <c r="G48" s="2" t="s">
        <v>23</v>
      </c>
      <c r="H48" s="2"/>
      <c r="I48" s="2"/>
      <c r="J48" s="2"/>
      <c r="K48" s="2" t="s">
        <v>25</v>
      </c>
      <c r="L48" s="2"/>
      <c r="M48" s="2"/>
      <c r="N48" s="3"/>
      <c r="O48" s="2" t="s">
        <v>150</v>
      </c>
    </row>
    <row r="49" spans="1:15" ht="15" customHeight="1" x14ac:dyDescent="0.25">
      <c r="A49" s="2" t="str">
        <f t="shared" si="0"/>
        <v>Jul 6 - Jul 11</v>
      </c>
      <c r="B49" s="3">
        <v>46212</v>
      </c>
      <c r="C49" s="2" t="s">
        <v>57</v>
      </c>
      <c r="D49" s="2"/>
      <c r="E49" s="2" t="s">
        <v>58</v>
      </c>
      <c r="F49" s="2" t="s">
        <v>43</v>
      </c>
      <c r="G49" s="2" t="s">
        <v>23</v>
      </c>
      <c r="H49" s="2"/>
      <c r="I49" s="2"/>
      <c r="J49" s="2" t="s">
        <v>59</v>
      </c>
      <c r="K49" s="2" t="s">
        <v>25</v>
      </c>
      <c r="L49" s="2"/>
      <c r="M49" s="2"/>
      <c r="N49" s="3"/>
      <c r="O49" s="2" t="s">
        <v>151</v>
      </c>
    </row>
    <row r="50" spans="1:15" ht="15" customHeight="1" x14ac:dyDescent="0.25">
      <c r="A50" s="2" t="str">
        <f t="shared" si="0"/>
        <v>Jul 6 - Jul 11</v>
      </c>
      <c r="B50" s="3">
        <v>46212</v>
      </c>
      <c r="C50" s="2" t="s">
        <v>152</v>
      </c>
      <c r="D50" s="2"/>
      <c r="E50" s="2"/>
      <c r="F50" s="2" t="s">
        <v>31</v>
      </c>
      <c r="G50" s="2" t="s">
        <v>39</v>
      </c>
      <c r="H50" s="2"/>
      <c r="I50" s="2"/>
      <c r="J50" s="2"/>
      <c r="K50" s="2" t="s">
        <v>25</v>
      </c>
      <c r="L50" s="2"/>
      <c r="M50" s="2"/>
      <c r="N50" s="3"/>
      <c r="O50" s="2" t="s">
        <v>69</v>
      </c>
    </row>
    <row r="51" spans="1:15" ht="15" customHeight="1" x14ac:dyDescent="0.25">
      <c r="A51" s="2" t="str">
        <f t="shared" si="0"/>
        <v>Jul 6 - Jul 11</v>
      </c>
      <c r="B51" s="3">
        <v>46213</v>
      </c>
      <c r="C51" s="2" t="s">
        <v>153</v>
      </c>
      <c r="D51" s="4" t="s">
        <v>154</v>
      </c>
      <c r="E51" s="2"/>
      <c r="F51" s="2" t="s">
        <v>31</v>
      </c>
      <c r="G51" s="2" t="s">
        <v>32</v>
      </c>
      <c r="H51" s="2"/>
      <c r="I51" s="2"/>
      <c r="J51" s="2"/>
      <c r="K51" s="2"/>
      <c r="L51" s="2"/>
      <c r="M51" s="2"/>
      <c r="N51" s="3"/>
      <c r="O51" s="2" t="s">
        <v>155</v>
      </c>
    </row>
    <row r="52" spans="1:15" ht="15" customHeight="1" x14ac:dyDescent="0.25">
      <c r="A52" s="2" t="str">
        <f t="shared" si="0"/>
        <v>Jul 6 - Jul 11</v>
      </c>
      <c r="B52" s="3">
        <v>46213</v>
      </c>
      <c r="C52" s="2" t="s">
        <v>156</v>
      </c>
      <c r="D52" s="4" t="s">
        <v>157</v>
      </c>
      <c r="E52" s="2"/>
      <c r="F52" s="2" t="s">
        <v>31</v>
      </c>
      <c r="G52" s="2" t="s">
        <v>32</v>
      </c>
      <c r="H52" s="2"/>
      <c r="I52" s="2"/>
      <c r="J52" s="2"/>
      <c r="K52" s="2"/>
      <c r="L52" s="2"/>
      <c r="M52" s="2"/>
      <c r="N52" s="3"/>
      <c r="O52" s="2" t="s">
        <v>158</v>
      </c>
    </row>
    <row r="53" spans="1:15" ht="15" customHeight="1" x14ac:dyDescent="0.25">
      <c r="A53" s="2" t="str">
        <f t="shared" si="0"/>
        <v>Jul 6 - Jul 11</v>
      </c>
      <c r="B53" s="3">
        <v>46213</v>
      </c>
      <c r="C53" s="2" t="s">
        <v>159</v>
      </c>
      <c r="D53" s="4" t="s">
        <v>160</v>
      </c>
      <c r="E53" s="2"/>
      <c r="F53" s="2" t="s">
        <v>43</v>
      </c>
      <c r="G53" s="2" t="s">
        <v>113</v>
      </c>
      <c r="H53" s="2"/>
      <c r="I53" s="2"/>
      <c r="J53" s="2"/>
      <c r="K53" s="2" t="s">
        <v>25</v>
      </c>
      <c r="L53" s="2"/>
      <c r="M53" s="2"/>
      <c r="N53" s="3">
        <v>46223</v>
      </c>
      <c r="O53" s="2" t="s">
        <v>161</v>
      </c>
    </row>
    <row r="54" spans="1:15" ht="15" customHeight="1" x14ac:dyDescent="0.25">
      <c r="A54" s="2" t="str">
        <f t="shared" si="0"/>
        <v>Jul 6 - Jul 11</v>
      </c>
      <c r="B54" s="3">
        <v>46213</v>
      </c>
      <c r="C54" s="2" t="s">
        <v>162</v>
      </c>
      <c r="D54" s="4" t="s">
        <v>163</v>
      </c>
      <c r="E54" s="2"/>
      <c r="F54" s="2" t="s">
        <v>43</v>
      </c>
      <c r="G54" s="2" t="s">
        <v>113</v>
      </c>
      <c r="H54" s="2"/>
      <c r="I54" s="2"/>
      <c r="J54" s="2"/>
      <c r="K54" s="2" t="s">
        <v>25</v>
      </c>
      <c r="L54" s="2"/>
      <c r="M54" s="2"/>
      <c r="N54" s="3"/>
      <c r="O54" s="2" t="s">
        <v>164</v>
      </c>
    </row>
    <row r="55" spans="1:15" ht="15" customHeight="1" x14ac:dyDescent="0.25">
      <c r="A55" s="2" t="str">
        <f t="shared" si="0"/>
        <v>Jul 6 - Jul 11</v>
      </c>
      <c r="B55" s="3">
        <v>46213</v>
      </c>
      <c r="C55" s="2" t="s">
        <v>41</v>
      </c>
      <c r="D55" s="2"/>
      <c r="E55" s="2"/>
      <c r="F55" s="2" t="s">
        <v>43</v>
      </c>
      <c r="G55" s="2" t="s">
        <v>44</v>
      </c>
      <c r="H55" s="2"/>
      <c r="I55" s="2"/>
      <c r="J55" s="2"/>
      <c r="K55" s="2" t="s">
        <v>25</v>
      </c>
      <c r="L55" s="2"/>
      <c r="M55" s="2"/>
      <c r="N55" s="3">
        <v>46221</v>
      </c>
      <c r="O55" s="2" t="s">
        <v>165</v>
      </c>
    </row>
    <row r="56" spans="1:15" ht="15" customHeight="1" x14ac:dyDescent="0.25">
      <c r="A56" s="2" t="str">
        <f t="shared" si="0"/>
        <v>Jul 13 - Jul 18</v>
      </c>
      <c r="B56" s="3">
        <v>46216</v>
      </c>
      <c r="C56" s="2" t="s">
        <v>166</v>
      </c>
      <c r="D56" s="4" t="s">
        <v>167</v>
      </c>
      <c r="E56" s="2"/>
      <c r="F56" s="2" t="s">
        <v>31</v>
      </c>
      <c r="G56" s="2" t="s">
        <v>32</v>
      </c>
      <c r="H56" s="2"/>
      <c r="I56" s="2"/>
      <c r="J56" s="2"/>
      <c r="K56" s="2"/>
      <c r="L56" s="2"/>
      <c r="M56" s="2"/>
      <c r="N56" s="3"/>
      <c r="O56" s="2" t="s">
        <v>168</v>
      </c>
    </row>
    <row r="57" spans="1:15" ht="15" customHeight="1" x14ac:dyDescent="0.25">
      <c r="A57" s="2" t="str">
        <f t="shared" si="0"/>
        <v>Jul 13 - Jul 18</v>
      </c>
      <c r="B57" s="3">
        <v>46216</v>
      </c>
      <c r="C57" s="2" t="s">
        <v>169</v>
      </c>
      <c r="D57" s="4" t="s">
        <v>170</v>
      </c>
      <c r="E57" s="2"/>
      <c r="F57" s="2" t="s">
        <v>31</v>
      </c>
      <c r="G57" s="2" t="s">
        <v>32</v>
      </c>
      <c r="H57" s="2"/>
      <c r="I57" s="2"/>
      <c r="J57" s="2"/>
      <c r="K57" s="2"/>
      <c r="L57" s="2"/>
      <c r="M57" s="2"/>
      <c r="N57" s="3"/>
      <c r="O57" s="2" t="s">
        <v>171</v>
      </c>
    </row>
    <row r="58" spans="1:15" ht="15" customHeight="1" x14ac:dyDescent="0.25">
      <c r="A58" s="2" t="str">
        <f t="shared" si="0"/>
        <v>Jul 13 - Jul 18</v>
      </c>
      <c r="B58" s="3">
        <v>46216</v>
      </c>
      <c r="C58" s="2" t="s">
        <v>172</v>
      </c>
      <c r="D58" s="4" t="s">
        <v>173</v>
      </c>
      <c r="E58" s="2"/>
      <c r="F58" s="2" t="s">
        <v>31</v>
      </c>
      <c r="G58" s="2" t="s">
        <v>32</v>
      </c>
      <c r="H58" s="2"/>
      <c r="I58" s="2"/>
      <c r="J58" s="2"/>
      <c r="K58" s="2"/>
      <c r="L58" s="2"/>
      <c r="M58" s="2"/>
      <c r="N58" s="3"/>
      <c r="O58" s="2" t="s">
        <v>174</v>
      </c>
    </row>
    <row r="59" spans="1:15" ht="15" customHeight="1" x14ac:dyDescent="0.25">
      <c r="A59" s="2" t="str">
        <f t="shared" si="0"/>
        <v>Jul 13 - Jul 18</v>
      </c>
      <c r="B59" s="3">
        <v>46216</v>
      </c>
      <c r="C59" s="2" t="s">
        <v>175</v>
      </c>
      <c r="D59" s="4" t="s">
        <v>176</v>
      </c>
      <c r="E59" s="2"/>
      <c r="F59" s="2" t="s">
        <v>31</v>
      </c>
      <c r="G59" s="2" t="s">
        <v>32</v>
      </c>
      <c r="H59" s="2"/>
      <c r="I59" s="2"/>
      <c r="J59" s="2"/>
      <c r="K59" s="2"/>
      <c r="L59" s="2"/>
      <c r="M59" s="2"/>
      <c r="N59" s="3"/>
      <c r="O59" s="2" t="s">
        <v>177</v>
      </c>
    </row>
    <row r="60" spans="1:15" ht="15" customHeight="1" x14ac:dyDescent="0.25">
      <c r="A60" s="2" t="str">
        <f t="shared" si="0"/>
        <v>Jul 13 - Jul 18</v>
      </c>
      <c r="B60" s="3">
        <v>46216</v>
      </c>
      <c r="C60" s="2" t="s">
        <v>178</v>
      </c>
      <c r="D60" s="2"/>
      <c r="E60" s="2"/>
      <c r="F60" s="2" t="s">
        <v>31</v>
      </c>
      <c r="G60" s="2" t="s">
        <v>32</v>
      </c>
      <c r="H60" s="2"/>
      <c r="I60" s="2"/>
      <c r="J60" s="2"/>
      <c r="K60" s="2"/>
      <c r="L60" s="2"/>
      <c r="M60" s="2"/>
      <c r="N60" s="3"/>
      <c r="O60" s="2" t="s">
        <v>179</v>
      </c>
    </row>
    <row r="61" spans="1:15" ht="15" customHeight="1" x14ac:dyDescent="0.25">
      <c r="A61" s="2" t="str">
        <f t="shared" si="0"/>
        <v>Jul 13 - Jul 18</v>
      </c>
      <c r="B61" s="3">
        <v>46216</v>
      </c>
      <c r="C61" s="2" t="s">
        <v>180</v>
      </c>
      <c r="D61" s="4" t="s">
        <v>181</v>
      </c>
      <c r="E61" s="2"/>
      <c r="F61" s="2" t="s">
        <v>31</v>
      </c>
      <c r="G61" s="2" t="s">
        <v>32</v>
      </c>
      <c r="H61" s="2"/>
      <c r="I61" s="2"/>
      <c r="J61" s="2"/>
      <c r="K61" s="2"/>
      <c r="L61" s="2"/>
      <c r="M61" s="2"/>
      <c r="N61" s="3"/>
      <c r="O61" s="2" t="s">
        <v>182</v>
      </c>
    </row>
    <row r="62" spans="1:15" ht="15" customHeight="1" x14ac:dyDescent="0.25">
      <c r="A62" s="2" t="str">
        <f t="shared" si="0"/>
        <v>Jul 13 - Jul 18</v>
      </c>
      <c r="B62" s="3">
        <v>46216</v>
      </c>
      <c r="C62" s="2" t="s">
        <v>183</v>
      </c>
      <c r="D62" s="2"/>
      <c r="E62" s="2" t="s">
        <v>184</v>
      </c>
      <c r="F62" s="2" t="s">
        <v>39</v>
      </c>
      <c r="G62" s="2" t="s">
        <v>47</v>
      </c>
      <c r="H62" s="2"/>
      <c r="I62" s="2"/>
      <c r="J62" s="2"/>
      <c r="K62" s="2" t="s">
        <v>25</v>
      </c>
      <c r="L62" s="2"/>
      <c r="M62" s="2"/>
      <c r="N62" s="3"/>
      <c r="O62" s="2"/>
    </row>
    <row r="63" spans="1:15" ht="15" customHeight="1" x14ac:dyDescent="0.25">
      <c r="A63" s="2" t="str">
        <f t="shared" si="0"/>
        <v>Jul 13 - Jul 18</v>
      </c>
      <c r="B63" s="3">
        <v>46216</v>
      </c>
      <c r="C63" s="2" t="s">
        <v>185</v>
      </c>
      <c r="D63" s="4" t="s">
        <v>186</v>
      </c>
      <c r="E63" s="2"/>
      <c r="F63" s="2" t="s">
        <v>43</v>
      </c>
      <c r="G63" s="2" t="s">
        <v>113</v>
      </c>
      <c r="H63" s="2"/>
      <c r="I63" s="2"/>
      <c r="J63" s="2"/>
      <c r="K63" s="2" t="s">
        <v>25</v>
      </c>
      <c r="L63" s="2"/>
      <c r="M63" s="2"/>
      <c r="N63" s="3"/>
      <c r="O63" s="2" t="s">
        <v>187</v>
      </c>
    </row>
    <row r="64" spans="1:15" ht="15" customHeight="1" x14ac:dyDescent="0.25">
      <c r="A64" s="2" t="str">
        <f t="shared" si="0"/>
        <v>Jul 13 - Jul 18</v>
      </c>
      <c r="B64" s="3">
        <v>46216</v>
      </c>
      <c r="C64" s="2" t="s">
        <v>188</v>
      </c>
      <c r="D64" s="4" t="s">
        <v>189</v>
      </c>
      <c r="E64" s="2"/>
      <c r="F64" s="2" t="s">
        <v>43</v>
      </c>
      <c r="G64" s="2" t="s">
        <v>113</v>
      </c>
      <c r="H64" s="2"/>
      <c r="I64" s="2"/>
      <c r="J64" s="2"/>
      <c r="K64" s="2" t="s">
        <v>18</v>
      </c>
      <c r="L64" s="2"/>
      <c r="M64" s="2"/>
      <c r="N64" s="3"/>
      <c r="O64" s="2" t="s">
        <v>190</v>
      </c>
    </row>
    <row r="65" spans="1:15" ht="15" customHeight="1" x14ac:dyDescent="0.25">
      <c r="A65" s="2" t="str">
        <f t="shared" si="0"/>
        <v>Jul 13 - Jul 18</v>
      </c>
      <c r="B65" s="3">
        <v>46216</v>
      </c>
      <c r="C65" s="2" t="s">
        <v>191</v>
      </c>
      <c r="D65" s="4" t="s">
        <v>192</v>
      </c>
      <c r="E65" s="2"/>
      <c r="F65" s="2" t="s">
        <v>43</v>
      </c>
      <c r="G65" s="2" t="s">
        <v>113</v>
      </c>
      <c r="H65" s="2"/>
      <c r="I65" s="2"/>
      <c r="J65" s="2"/>
      <c r="K65" s="2" t="s">
        <v>25</v>
      </c>
      <c r="L65" s="2"/>
      <c r="M65" s="2"/>
      <c r="N65" s="3"/>
      <c r="O65" s="2" t="s">
        <v>193</v>
      </c>
    </row>
    <row r="66" spans="1:15" ht="15" customHeight="1" x14ac:dyDescent="0.25">
      <c r="A66" s="2" t="str">
        <f t="shared" ref="A66:A129" si="1">IF(B66="","",TEXT(B66-(WEEKDAY(B66,2)-1),"mmm d")&amp;" - "&amp;TEXT(B66-(WEEKDAY(B66,2)-1)+5,"mmm d"))</f>
        <v>Jul 13 - Jul 18</v>
      </c>
      <c r="B66" s="3">
        <v>46216</v>
      </c>
      <c r="C66" s="2" t="s">
        <v>194</v>
      </c>
      <c r="D66" s="2"/>
      <c r="E66" s="2"/>
      <c r="F66" s="2" t="s">
        <v>22</v>
      </c>
      <c r="G66" s="2" t="s">
        <v>23</v>
      </c>
      <c r="H66" s="2"/>
      <c r="I66" s="2"/>
      <c r="J66" s="2"/>
      <c r="K66" s="2" t="s">
        <v>25</v>
      </c>
      <c r="L66" s="2"/>
      <c r="M66" s="2"/>
      <c r="N66" s="3"/>
      <c r="O66" s="2" t="s">
        <v>195</v>
      </c>
    </row>
    <row r="67" spans="1:15" ht="15" customHeight="1" x14ac:dyDescent="0.25">
      <c r="A67" s="2" t="str">
        <f t="shared" si="1"/>
        <v>Jul 13 - Jul 18</v>
      </c>
      <c r="B67" s="3">
        <v>46217</v>
      </c>
      <c r="C67" s="2" t="s">
        <v>196</v>
      </c>
      <c r="D67" s="2"/>
      <c r="E67" s="2" t="s">
        <v>197</v>
      </c>
      <c r="F67" s="2" t="s">
        <v>118</v>
      </c>
      <c r="G67" s="2" t="s">
        <v>135</v>
      </c>
      <c r="H67" s="2"/>
      <c r="I67" s="2"/>
      <c r="J67" s="2"/>
      <c r="K67" s="2" t="s">
        <v>25</v>
      </c>
      <c r="L67" s="2"/>
      <c r="M67" s="2"/>
      <c r="N67" s="3"/>
      <c r="O67" s="2" t="s">
        <v>198</v>
      </c>
    </row>
    <row r="68" spans="1:15" ht="15" customHeight="1" x14ac:dyDescent="0.25">
      <c r="A68" s="2" t="str">
        <f t="shared" si="1"/>
        <v>Jul 13 - Jul 18</v>
      </c>
      <c r="B68" s="3">
        <v>46217</v>
      </c>
      <c r="C68" s="2" t="s">
        <v>199</v>
      </c>
      <c r="D68" s="2"/>
      <c r="E68" s="2" t="s">
        <v>200</v>
      </c>
      <c r="F68" s="2" t="s">
        <v>22</v>
      </c>
      <c r="G68" s="2" t="s">
        <v>39</v>
      </c>
      <c r="H68" s="2"/>
      <c r="I68" s="2"/>
      <c r="J68" s="2"/>
      <c r="K68" s="2" t="s">
        <v>25</v>
      </c>
      <c r="L68" s="2"/>
      <c r="M68" s="2"/>
      <c r="N68" s="3"/>
      <c r="O68" s="2" t="s">
        <v>201</v>
      </c>
    </row>
    <row r="69" spans="1:15" ht="15" customHeight="1" x14ac:dyDescent="0.25">
      <c r="A69" s="2" t="str">
        <f t="shared" si="1"/>
        <v>Jul 13 - Jul 18</v>
      </c>
      <c r="B69" s="3">
        <v>46217</v>
      </c>
      <c r="C69" s="2" t="s">
        <v>202</v>
      </c>
      <c r="D69" s="2"/>
      <c r="E69" s="2" t="s">
        <v>200</v>
      </c>
      <c r="F69" s="2" t="s">
        <v>22</v>
      </c>
      <c r="G69" s="2"/>
      <c r="H69" s="2"/>
      <c r="I69" s="2"/>
      <c r="J69" s="2"/>
      <c r="K69" s="2" t="s">
        <v>25</v>
      </c>
      <c r="L69" s="2"/>
      <c r="M69" s="2"/>
      <c r="N69" s="3"/>
      <c r="O69" s="2" t="s">
        <v>203</v>
      </c>
    </row>
    <row r="70" spans="1:15" ht="15" customHeight="1" x14ac:dyDescent="0.25">
      <c r="A70" s="2" t="str">
        <f t="shared" si="1"/>
        <v>Jul 13 - Jul 18</v>
      </c>
      <c r="B70" s="3">
        <v>46217</v>
      </c>
      <c r="C70" s="2" t="s">
        <v>204</v>
      </c>
      <c r="D70" s="2"/>
      <c r="E70" s="2" t="s">
        <v>205</v>
      </c>
      <c r="F70" s="2" t="s">
        <v>43</v>
      </c>
      <c r="G70" s="2" t="s">
        <v>32</v>
      </c>
      <c r="H70" s="2"/>
      <c r="I70" s="2"/>
      <c r="J70" s="2"/>
      <c r="K70" s="2" t="s">
        <v>25</v>
      </c>
      <c r="L70" s="2"/>
      <c r="M70" s="2"/>
      <c r="N70" s="3"/>
      <c r="O70" s="2" t="s">
        <v>206</v>
      </c>
    </row>
    <row r="71" spans="1:15" ht="15" customHeight="1" x14ac:dyDescent="0.25">
      <c r="A71" s="2" t="str">
        <f t="shared" si="1"/>
        <v>Jul 13 - Jul 18</v>
      </c>
      <c r="B71" s="3">
        <v>46217</v>
      </c>
      <c r="C71" s="2" t="s">
        <v>207</v>
      </c>
      <c r="D71" s="2"/>
      <c r="E71" s="2" t="s">
        <v>208</v>
      </c>
      <c r="F71" s="2" t="s">
        <v>39</v>
      </c>
      <c r="G71" s="2" t="s">
        <v>47</v>
      </c>
      <c r="H71" s="2"/>
      <c r="I71" s="2"/>
      <c r="J71" s="2"/>
      <c r="K71" s="2" t="s">
        <v>25</v>
      </c>
      <c r="L71" s="2"/>
      <c r="M71" s="2"/>
      <c r="N71" s="3"/>
      <c r="O71" s="2" t="s">
        <v>209</v>
      </c>
    </row>
    <row r="72" spans="1:15" ht="15" customHeight="1" x14ac:dyDescent="0.25">
      <c r="A72" s="2" t="str">
        <f t="shared" si="1"/>
        <v>Jul 13 - Jul 18</v>
      </c>
      <c r="B72" s="3">
        <v>46218</v>
      </c>
      <c r="C72" s="2" t="s">
        <v>210</v>
      </c>
      <c r="D72" s="2"/>
      <c r="E72" s="2"/>
      <c r="F72" s="2"/>
      <c r="G72" s="2"/>
      <c r="H72" s="2"/>
      <c r="I72" s="2"/>
      <c r="J72" s="2"/>
      <c r="K72" s="2" t="s">
        <v>18</v>
      </c>
      <c r="L72" s="2"/>
      <c r="M72" s="2"/>
      <c r="N72" s="3"/>
      <c r="O72" s="2"/>
    </row>
    <row r="73" spans="1:15" ht="15" customHeight="1" x14ac:dyDescent="0.25">
      <c r="A73" s="2" t="str">
        <f t="shared" si="1"/>
        <v>Jul 13 - Jul 18</v>
      </c>
      <c r="B73" s="3">
        <v>46218</v>
      </c>
      <c r="C73" s="2" t="s">
        <v>211</v>
      </c>
      <c r="D73" s="2"/>
      <c r="E73" s="2"/>
      <c r="F73" s="2"/>
      <c r="G73" s="2" t="s">
        <v>113</v>
      </c>
      <c r="H73" s="2"/>
      <c r="I73" s="2"/>
      <c r="J73" s="2"/>
      <c r="K73" s="2" t="s">
        <v>25</v>
      </c>
      <c r="L73" s="2"/>
      <c r="M73" s="2"/>
      <c r="N73" s="3"/>
      <c r="O73" s="2" t="s">
        <v>212</v>
      </c>
    </row>
    <row r="74" spans="1:15" ht="15" customHeight="1" x14ac:dyDescent="0.25">
      <c r="A74" s="2" t="str">
        <f t="shared" si="1"/>
        <v>Jul 13 - Jul 18</v>
      </c>
      <c r="B74" s="3">
        <v>46218</v>
      </c>
      <c r="C74" s="2" t="s">
        <v>213</v>
      </c>
      <c r="D74" s="2"/>
      <c r="E74" s="2"/>
      <c r="F74" s="2"/>
      <c r="G74" s="2" t="s">
        <v>23</v>
      </c>
      <c r="H74" s="2"/>
      <c r="I74" s="2"/>
      <c r="J74" s="2" t="s">
        <v>214</v>
      </c>
      <c r="K74" s="2" t="s">
        <v>25</v>
      </c>
      <c r="L74" s="2"/>
      <c r="M74" s="2"/>
      <c r="N74" s="3"/>
      <c r="O74" s="2"/>
    </row>
    <row r="75" spans="1:15" ht="15" customHeight="1" x14ac:dyDescent="0.25">
      <c r="A75" s="2" t="str">
        <f t="shared" si="1"/>
        <v>Jul 13 - Jul 18</v>
      </c>
      <c r="B75" s="3">
        <v>46218</v>
      </c>
      <c r="C75" s="2" t="s">
        <v>215</v>
      </c>
      <c r="D75" s="4" t="s">
        <v>216</v>
      </c>
      <c r="E75" s="2"/>
      <c r="F75" s="2" t="s">
        <v>43</v>
      </c>
      <c r="G75" s="2" t="s">
        <v>23</v>
      </c>
      <c r="H75" s="2"/>
      <c r="I75" s="2"/>
      <c r="J75" s="2" t="s">
        <v>217</v>
      </c>
      <c r="K75" s="2" t="s">
        <v>25</v>
      </c>
      <c r="L75" s="2"/>
      <c r="M75" s="2"/>
      <c r="N75" s="3">
        <v>46223</v>
      </c>
      <c r="O75" s="2" t="s">
        <v>218</v>
      </c>
    </row>
    <row r="76" spans="1:15" ht="15" customHeight="1" x14ac:dyDescent="0.25">
      <c r="A76" s="2" t="str">
        <f t="shared" si="1"/>
        <v>Jul 13 - Jul 18</v>
      </c>
      <c r="B76" s="3">
        <v>46218</v>
      </c>
      <c r="C76" s="2" t="s">
        <v>219</v>
      </c>
      <c r="D76" s="2"/>
      <c r="E76" s="2" t="s">
        <v>220</v>
      </c>
      <c r="F76" s="2" t="s">
        <v>221</v>
      </c>
      <c r="G76" s="2"/>
      <c r="H76" s="2"/>
      <c r="I76" s="2"/>
      <c r="J76" s="2"/>
      <c r="K76" s="2" t="s">
        <v>25</v>
      </c>
      <c r="L76" s="2"/>
      <c r="M76" s="2"/>
      <c r="N76" s="3"/>
      <c r="O76" s="2" t="s">
        <v>222</v>
      </c>
    </row>
    <row r="77" spans="1:15" ht="15" customHeight="1" x14ac:dyDescent="0.25">
      <c r="A77" s="2" t="str">
        <f t="shared" si="1"/>
        <v>Jul 13 - Jul 18</v>
      </c>
      <c r="B77" s="3">
        <v>46218</v>
      </c>
      <c r="C77" s="2" t="s">
        <v>223</v>
      </c>
      <c r="D77" s="2"/>
      <c r="E77" s="2" t="s">
        <v>224</v>
      </c>
      <c r="F77" s="2" t="s">
        <v>31</v>
      </c>
      <c r="G77" s="2"/>
      <c r="H77" s="2"/>
      <c r="I77" s="2"/>
      <c r="J77" s="2"/>
      <c r="K77" s="2" t="s">
        <v>25</v>
      </c>
      <c r="L77" s="2"/>
      <c r="M77" s="2"/>
      <c r="N77" s="3"/>
      <c r="O77" s="2" t="s">
        <v>225</v>
      </c>
    </row>
    <row r="78" spans="1:15" ht="15" customHeight="1" x14ac:dyDescent="0.25">
      <c r="A78" s="2" t="str">
        <f t="shared" si="1"/>
        <v>Jul 13 - Jul 18</v>
      </c>
      <c r="B78" s="3">
        <v>46219</v>
      </c>
      <c r="C78" s="2" t="s">
        <v>226</v>
      </c>
      <c r="D78" s="2"/>
      <c r="E78" s="2" t="s">
        <v>227</v>
      </c>
      <c r="F78" s="2" t="s">
        <v>39</v>
      </c>
      <c r="G78" s="2"/>
      <c r="H78" s="2"/>
      <c r="I78" s="2"/>
      <c r="J78" s="2"/>
      <c r="K78" s="2" t="s">
        <v>25</v>
      </c>
      <c r="L78" s="2"/>
      <c r="M78" s="2"/>
      <c r="N78" s="3"/>
      <c r="O78" s="2" t="s">
        <v>228</v>
      </c>
    </row>
    <row r="79" spans="1:15" ht="15" customHeight="1" x14ac:dyDescent="0.25">
      <c r="A79" s="2" t="str">
        <f t="shared" si="1"/>
        <v>Jul 13 - Jul 18</v>
      </c>
      <c r="B79" s="3">
        <v>46219</v>
      </c>
      <c r="C79" s="2" t="s">
        <v>152</v>
      </c>
      <c r="D79" s="2"/>
      <c r="E79" s="2"/>
      <c r="F79" s="2"/>
      <c r="G79" s="2"/>
      <c r="H79" s="2"/>
      <c r="I79" s="2"/>
      <c r="J79" s="2"/>
      <c r="K79" s="2" t="s">
        <v>25</v>
      </c>
      <c r="L79" s="2"/>
      <c r="M79" s="2"/>
      <c r="N79" s="3"/>
      <c r="O79" s="2" t="s">
        <v>229</v>
      </c>
    </row>
    <row r="80" spans="1:15" ht="15" customHeight="1" x14ac:dyDescent="0.25">
      <c r="A80" s="2" t="str">
        <f t="shared" si="1"/>
        <v>Jul 13 - Jul 18</v>
      </c>
      <c r="B80" s="3">
        <v>46219</v>
      </c>
      <c r="C80" s="2" t="s">
        <v>230</v>
      </c>
      <c r="D80" s="2"/>
      <c r="E80" s="2" t="s">
        <v>231</v>
      </c>
      <c r="F80" s="2" t="s">
        <v>43</v>
      </c>
      <c r="G80" s="2" t="s">
        <v>135</v>
      </c>
      <c r="H80" s="2"/>
      <c r="I80" s="2"/>
      <c r="J80" s="2"/>
      <c r="K80" s="2" t="s">
        <v>25</v>
      </c>
      <c r="L80" s="2"/>
      <c r="M80" s="2"/>
      <c r="N80" s="3">
        <v>46223</v>
      </c>
      <c r="O80" s="2" t="s">
        <v>232</v>
      </c>
    </row>
    <row r="81" spans="1:15" ht="15" customHeight="1" x14ac:dyDescent="0.25">
      <c r="A81" s="2" t="str">
        <f t="shared" si="1"/>
        <v>Jul 13 - Jul 18</v>
      </c>
      <c r="B81" s="3">
        <v>46219</v>
      </c>
      <c r="C81" s="2" t="s">
        <v>233</v>
      </c>
      <c r="D81" s="2"/>
      <c r="E81" s="2" t="s">
        <v>234</v>
      </c>
      <c r="F81" s="2" t="s">
        <v>16</v>
      </c>
      <c r="G81" s="2" t="s">
        <v>135</v>
      </c>
      <c r="H81" s="2"/>
      <c r="I81" s="2"/>
      <c r="J81" s="2"/>
      <c r="K81" s="2" t="s">
        <v>25</v>
      </c>
      <c r="L81" s="2"/>
      <c r="M81" s="2"/>
      <c r="N81" s="3"/>
      <c r="O81" s="2" t="s">
        <v>235</v>
      </c>
    </row>
    <row r="82" spans="1:15" ht="15" customHeight="1" x14ac:dyDescent="0.25">
      <c r="A82" s="2" t="str">
        <f t="shared" si="1"/>
        <v>Jul 13 - Jul 18</v>
      </c>
      <c r="B82" s="3">
        <v>46219</v>
      </c>
      <c r="C82" s="2" t="s">
        <v>236</v>
      </c>
      <c r="D82" s="2"/>
      <c r="E82" s="2" t="s">
        <v>237</v>
      </c>
      <c r="F82" s="2" t="s">
        <v>16</v>
      </c>
      <c r="G82" s="2" t="s">
        <v>135</v>
      </c>
      <c r="H82" s="2"/>
      <c r="I82" s="2"/>
      <c r="J82" s="2"/>
      <c r="K82" s="2" t="s">
        <v>25</v>
      </c>
      <c r="L82" s="2"/>
      <c r="M82" s="2"/>
      <c r="N82" s="3"/>
      <c r="O82" s="2" t="s">
        <v>238</v>
      </c>
    </row>
    <row r="83" spans="1:15" ht="15" customHeight="1" x14ac:dyDescent="0.25">
      <c r="A83" s="2" t="str">
        <f t="shared" si="1"/>
        <v>Jul 13 - Jul 18</v>
      </c>
      <c r="B83" s="3">
        <v>46219</v>
      </c>
      <c r="C83" s="2" t="s">
        <v>239</v>
      </c>
      <c r="D83" s="2"/>
      <c r="E83" s="2"/>
      <c r="F83" s="2" t="s">
        <v>16</v>
      </c>
      <c r="G83" s="2" t="s">
        <v>135</v>
      </c>
      <c r="H83" s="2"/>
      <c r="I83" s="2"/>
      <c r="J83" s="2"/>
      <c r="K83" s="2" t="s">
        <v>25</v>
      </c>
      <c r="L83" s="2"/>
      <c r="M83" s="2"/>
      <c r="N83" s="3"/>
      <c r="O83" s="2" t="s">
        <v>240</v>
      </c>
    </row>
    <row r="84" spans="1:15" ht="15" customHeight="1" x14ac:dyDescent="0.25">
      <c r="A84" s="2" t="str">
        <f t="shared" si="1"/>
        <v>Jul 13 - Jul 18</v>
      </c>
      <c r="B84" s="3">
        <v>46219</v>
      </c>
      <c r="C84" s="2" t="s">
        <v>241</v>
      </c>
      <c r="D84" s="2"/>
      <c r="E84" s="2"/>
      <c r="F84" s="2" t="s">
        <v>39</v>
      </c>
      <c r="G84" s="2" t="s">
        <v>135</v>
      </c>
      <c r="H84" s="2"/>
      <c r="I84" s="2"/>
      <c r="J84" s="2"/>
      <c r="K84" s="2" t="s">
        <v>25</v>
      </c>
      <c r="L84" s="2"/>
      <c r="M84" s="2"/>
      <c r="N84" s="3"/>
      <c r="O84" s="2" t="s">
        <v>242</v>
      </c>
    </row>
    <row r="85" spans="1:15" ht="15" customHeight="1" x14ac:dyDescent="0.25">
      <c r="A85" s="2" t="str">
        <f t="shared" si="1"/>
        <v>Jul 13 - Jul 18</v>
      </c>
      <c r="B85" s="3">
        <v>46219</v>
      </c>
      <c r="C85" s="2" t="s">
        <v>243</v>
      </c>
      <c r="D85" s="2"/>
      <c r="E85" s="2" t="s">
        <v>244</v>
      </c>
      <c r="F85" s="2" t="s">
        <v>39</v>
      </c>
      <c r="G85" s="2" t="s">
        <v>135</v>
      </c>
      <c r="H85" s="2"/>
      <c r="I85" s="2"/>
      <c r="J85" s="2"/>
      <c r="K85" s="2" t="s">
        <v>25</v>
      </c>
      <c r="L85" s="2"/>
      <c r="M85" s="2"/>
      <c r="N85" s="3">
        <v>46223</v>
      </c>
      <c r="O85" s="2" t="s">
        <v>245</v>
      </c>
    </row>
    <row r="86" spans="1:15" ht="15" customHeight="1" x14ac:dyDescent="0.25">
      <c r="A86" s="2" t="str">
        <f t="shared" si="1"/>
        <v>Jul 13 - Jul 18</v>
      </c>
      <c r="B86" s="3">
        <v>46219</v>
      </c>
      <c r="C86" s="2" t="s">
        <v>246</v>
      </c>
      <c r="D86" s="2"/>
      <c r="E86" s="2" t="s">
        <v>247</v>
      </c>
      <c r="F86" s="2" t="s">
        <v>31</v>
      </c>
      <c r="G86" s="2" t="s">
        <v>135</v>
      </c>
      <c r="H86" s="2"/>
      <c r="I86" s="2"/>
      <c r="J86" s="2"/>
      <c r="K86" s="2" t="s">
        <v>25</v>
      </c>
      <c r="L86" s="2"/>
      <c r="M86" s="2"/>
      <c r="N86" s="3"/>
      <c r="O86" s="2" t="s">
        <v>248</v>
      </c>
    </row>
    <row r="87" spans="1:15" ht="15" customHeight="1" x14ac:dyDescent="0.25">
      <c r="A87" s="2" t="str">
        <f t="shared" si="1"/>
        <v>Jul 13 - Jul 18</v>
      </c>
      <c r="B87" s="3">
        <v>46219</v>
      </c>
      <c r="C87" s="2" t="s">
        <v>249</v>
      </c>
      <c r="D87" s="2"/>
      <c r="E87" s="2" t="s">
        <v>250</v>
      </c>
      <c r="F87" s="2"/>
      <c r="G87" s="2" t="s">
        <v>135</v>
      </c>
      <c r="H87" s="2"/>
      <c r="I87" s="2"/>
      <c r="J87" s="2"/>
      <c r="K87" s="2" t="s">
        <v>25</v>
      </c>
      <c r="L87" s="2"/>
      <c r="M87" s="2"/>
      <c r="N87" s="3"/>
      <c r="O87" s="2" t="s">
        <v>251</v>
      </c>
    </row>
    <row r="88" spans="1:15" ht="15" customHeight="1" x14ac:dyDescent="0.25">
      <c r="A88" s="2" t="str">
        <f t="shared" si="1"/>
        <v>Jul 13 - Jul 18</v>
      </c>
      <c r="B88" s="3">
        <v>46219</v>
      </c>
      <c r="C88" s="2" t="s">
        <v>252</v>
      </c>
      <c r="D88" s="2"/>
      <c r="E88" s="2" t="s">
        <v>253</v>
      </c>
      <c r="F88" s="2" t="s">
        <v>39</v>
      </c>
      <c r="G88" s="2" t="s">
        <v>135</v>
      </c>
      <c r="H88" s="2"/>
      <c r="I88" s="2"/>
      <c r="J88" s="2"/>
      <c r="K88" s="2" t="s">
        <v>25</v>
      </c>
      <c r="L88" s="2"/>
      <c r="M88" s="2"/>
      <c r="N88" s="3"/>
      <c r="O88" s="2" t="s">
        <v>254</v>
      </c>
    </row>
    <row r="89" spans="1:15" ht="15" customHeight="1" x14ac:dyDescent="0.25">
      <c r="A89" s="2" t="str">
        <f t="shared" si="1"/>
        <v>Jul 20 - Jul 25</v>
      </c>
      <c r="B89" s="3">
        <v>46223</v>
      </c>
      <c r="C89" s="2" t="s">
        <v>255</v>
      </c>
      <c r="D89" s="2"/>
      <c r="E89" s="2" t="s">
        <v>256</v>
      </c>
      <c r="F89" s="2"/>
      <c r="G89" s="2" t="s">
        <v>135</v>
      </c>
      <c r="H89" s="2"/>
      <c r="I89" s="2"/>
      <c r="J89" s="2"/>
      <c r="K89" s="2" t="s">
        <v>25</v>
      </c>
      <c r="L89" s="2"/>
      <c r="M89" s="2"/>
      <c r="N89" s="3"/>
      <c r="O89" s="2" t="s">
        <v>257</v>
      </c>
    </row>
    <row r="90" spans="1:15" ht="15" customHeight="1" x14ac:dyDescent="0.25">
      <c r="A90" s="2" t="str">
        <f t="shared" si="1"/>
        <v>Jul 20 - Jul 25</v>
      </c>
      <c r="B90" s="3">
        <v>46223</v>
      </c>
      <c r="C90" s="2" t="s">
        <v>258</v>
      </c>
      <c r="D90" s="2"/>
      <c r="E90" s="2" t="s">
        <v>259</v>
      </c>
      <c r="F90" s="2"/>
      <c r="G90" s="2" t="s">
        <v>135</v>
      </c>
      <c r="H90" s="2"/>
      <c r="I90" s="2"/>
      <c r="J90" s="2"/>
      <c r="K90" s="2" t="s">
        <v>25</v>
      </c>
      <c r="L90" s="2"/>
      <c r="M90" s="2"/>
      <c r="N90" s="3"/>
      <c r="O90" s="2" t="s">
        <v>260</v>
      </c>
    </row>
    <row r="91" spans="1:15" ht="15" customHeight="1" x14ac:dyDescent="0.25">
      <c r="A91" s="2" t="str">
        <f t="shared" si="1"/>
        <v>Jul 20 - Jul 25</v>
      </c>
      <c r="B91" s="3">
        <v>46223</v>
      </c>
      <c r="C91" s="2" t="s">
        <v>143</v>
      </c>
      <c r="D91" s="4" t="s">
        <v>144</v>
      </c>
      <c r="E91" s="2"/>
      <c r="F91" s="2" t="s">
        <v>16</v>
      </c>
      <c r="G91" s="2"/>
      <c r="H91" s="2"/>
      <c r="I91" s="2"/>
      <c r="J91" s="2"/>
      <c r="K91" s="2" t="s">
        <v>25</v>
      </c>
      <c r="L91" s="2"/>
      <c r="M91" s="2"/>
      <c r="N91" s="3"/>
      <c r="O91" s="2" t="s">
        <v>261</v>
      </c>
    </row>
    <row r="92" spans="1:15" ht="15" customHeight="1" x14ac:dyDescent="0.25">
      <c r="A92" s="2" t="str">
        <f t="shared" si="1"/>
        <v>Jul 20 - Jul 25</v>
      </c>
      <c r="B92" s="3">
        <v>46223</v>
      </c>
      <c r="C92" s="2" t="s">
        <v>262</v>
      </c>
      <c r="D92" s="2"/>
      <c r="E92" s="2" t="s">
        <v>263</v>
      </c>
      <c r="F92" s="2" t="s">
        <v>31</v>
      </c>
      <c r="G92" s="2"/>
      <c r="H92" s="2"/>
      <c r="I92" s="2"/>
      <c r="J92" s="2"/>
      <c r="K92" s="2" t="s">
        <v>25</v>
      </c>
      <c r="L92" s="2"/>
      <c r="M92" s="2"/>
      <c r="N92" s="3"/>
      <c r="O92" s="2" t="s">
        <v>264</v>
      </c>
    </row>
    <row r="93" spans="1:15" ht="15" customHeight="1" x14ac:dyDescent="0.25">
      <c r="A93" s="2" t="str">
        <f t="shared" si="1"/>
        <v>Jul 20 - Jul 25</v>
      </c>
      <c r="B93" s="3">
        <v>46223</v>
      </c>
      <c r="C93" s="2" t="s">
        <v>265</v>
      </c>
      <c r="D93" s="2"/>
      <c r="E93" s="2" t="s">
        <v>266</v>
      </c>
      <c r="F93" s="2" t="s">
        <v>43</v>
      </c>
      <c r="G93" s="2"/>
      <c r="H93" s="2"/>
      <c r="I93" s="2"/>
      <c r="J93" s="2"/>
      <c r="K93" s="2" t="s">
        <v>25</v>
      </c>
      <c r="L93" s="2"/>
      <c r="M93" s="2"/>
      <c r="N93" s="3"/>
      <c r="O93" s="2" t="s">
        <v>267</v>
      </c>
    </row>
    <row r="94" spans="1:15" ht="15" customHeight="1" x14ac:dyDescent="0.25">
      <c r="A94" s="2" t="str">
        <f t="shared" si="1"/>
        <v>Jul 20 - Jul 25</v>
      </c>
      <c r="B94" s="3">
        <v>46225</v>
      </c>
      <c r="C94" s="2" t="s">
        <v>143</v>
      </c>
      <c r="D94" s="2"/>
      <c r="E94" s="2"/>
      <c r="F94" s="2" t="s">
        <v>16</v>
      </c>
      <c r="G94" s="2"/>
      <c r="H94" s="2"/>
      <c r="I94" s="2"/>
      <c r="J94" s="2"/>
      <c r="K94" s="2" t="s">
        <v>25</v>
      </c>
      <c r="L94" s="2"/>
      <c r="M94" s="2"/>
      <c r="N94" s="3"/>
      <c r="O94" s="2" t="s">
        <v>268</v>
      </c>
    </row>
    <row r="95" spans="1:15" ht="15" customHeight="1" x14ac:dyDescent="0.25">
      <c r="A95" s="2" t="str">
        <f t="shared" si="1"/>
        <v>Jul 20 - Jul 25</v>
      </c>
      <c r="B95" s="3">
        <v>46225</v>
      </c>
      <c r="C95" s="2" t="s">
        <v>269</v>
      </c>
      <c r="D95" s="2"/>
      <c r="E95" s="2" t="s">
        <v>131</v>
      </c>
      <c r="F95" s="2" t="s">
        <v>22</v>
      </c>
      <c r="G95" s="2"/>
      <c r="H95" s="2"/>
      <c r="I95" s="2"/>
      <c r="J95" s="2"/>
      <c r="K95" s="2" t="s">
        <v>25</v>
      </c>
      <c r="L95" s="2"/>
      <c r="M95" s="2"/>
      <c r="N95" s="3"/>
      <c r="O95" s="2" t="s">
        <v>270</v>
      </c>
    </row>
    <row r="96" spans="1:15" ht="15" customHeight="1" x14ac:dyDescent="0.25">
      <c r="A96" s="2" t="str">
        <f t="shared" si="1"/>
        <v>Jul 20 - Jul 25</v>
      </c>
      <c r="B96" s="3">
        <v>46225</v>
      </c>
      <c r="C96" s="2" t="s">
        <v>271</v>
      </c>
      <c r="D96" s="2"/>
      <c r="E96" s="2" t="s">
        <v>75</v>
      </c>
      <c r="F96" s="2" t="s">
        <v>22</v>
      </c>
      <c r="G96" s="2"/>
      <c r="H96" s="2"/>
      <c r="I96" s="2"/>
      <c r="J96" s="2"/>
      <c r="K96" s="2" t="s">
        <v>25</v>
      </c>
      <c r="L96" s="2"/>
      <c r="M96" s="2"/>
      <c r="N96" s="3"/>
      <c r="O96" s="2" t="s">
        <v>272</v>
      </c>
    </row>
    <row r="97" spans="1:15" ht="15" customHeight="1" x14ac:dyDescent="0.25">
      <c r="A97" s="2" t="str">
        <f t="shared" si="1"/>
        <v>Jul 20 - Jul 25</v>
      </c>
      <c r="B97" s="3">
        <v>46225</v>
      </c>
      <c r="C97" s="2" t="s">
        <v>273</v>
      </c>
      <c r="D97" s="2"/>
      <c r="E97" s="2" t="s">
        <v>274</v>
      </c>
      <c r="F97" s="2" t="s">
        <v>16</v>
      </c>
      <c r="G97" s="2"/>
      <c r="H97" s="2"/>
      <c r="I97" s="2"/>
      <c r="J97" s="2"/>
      <c r="K97" s="2" t="s">
        <v>25</v>
      </c>
      <c r="L97" s="2"/>
      <c r="M97" s="2"/>
      <c r="N97" s="3"/>
      <c r="O97" s="2" t="s">
        <v>275</v>
      </c>
    </row>
    <row r="98" spans="1:15" ht="15" customHeight="1" x14ac:dyDescent="0.25">
      <c r="A98" s="2" t="str">
        <f t="shared" si="1"/>
        <v>Jul 20 - Jul 25</v>
      </c>
      <c r="B98" s="3">
        <v>46225</v>
      </c>
      <c r="C98" s="2" t="s">
        <v>276</v>
      </c>
      <c r="D98" s="2"/>
      <c r="E98" s="2" t="s">
        <v>277</v>
      </c>
      <c r="F98" s="2" t="s">
        <v>22</v>
      </c>
      <c r="G98" s="2"/>
      <c r="H98" s="2"/>
      <c r="I98" s="2"/>
      <c r="J98" s="2"/>
      <c r="K98" s="2" t="s">
        <v>25</v>
      </c>
      <c r="L98" s="2"/>
      <c r="M98" s="2"/>
      <c r="N98" s="3"/>
      <c r="O98" s="2" t="s">
        <v>278</v>
      </c>
    </row>
    <row r="99" spans="1:15" ht="15" customHeight="1" x14ac:dyDescent="0.25">
      <c r="A99" s="2" t="str">
        <f t="shared" si="1"/>
        <v>Jul 20 - Jul 25</v>
      </c>
      <c r="B99" s="3">
        <v>46225</v>
      </c>
      <c r="C99" s="2" t="s">
        <v>279</v>
      </c>
      <c r="D99" s="2"/>
      <c r="E99" s="2" t="s">
        <v>280</v>
      </c>
      <c r="F99" s="2" t="s">
        <v>22</v>
      </c>
      <c r="G99" s="2"/>
      <c r="H99" s="2"/>
      <c r="I99" s="2"/>
      <c r="J99" s="2"/>
      <c r="K99" s="2" t="s">
        <v>25</v>
      </c>
      <c r="L99" s="2"/>
      <c r="M99" s="2"/>
      <c r="N99" s="3"/>
      <c r="O99" s="2" t="s">
        <v>281</v>
      </c>
    </row>
    <row r="100" spans="1:15" ht="15" customHeight="1" x14ac:dyDescent="0.25">
      <c r="A100" s="2" t="str">
        <f t="shared" si="1"/>
        <v>Jul 20 - Jul 25</v>
      </c>
      <c r="B100" s="3">
        <v>46225</v>
      </c>
      <c r="C100" s="2" t="s">
        <v>282</v>
      </c>
      <c r="D100" s="2"/>
      <c r="E100" s="2"/>
      <c r="F100" s="2" t="s">
        <v>43</v>
      </c>
      <c r="G100" s="2"/>
      <c r="H100" s="2"/>
      <c r="I100" s="2"/>
      <c r="J100" s="2"/>
      <c r="K100" s="2" t="s">
        <v>25</v>
      </c>
      <c r="L100" s="2"/>
      <c r="M100" s="2"/>
      <c r="N100" s="3"/>
      <c r="O100" s="2"/>
    </row>
    <row r="101" spans="1:15" ht="15" customHeight="1" x14ac:dyDescent="0.25">
      <c r="A101" s="2" t="str">
        <f t="shared" si="1"/>
        <v>Jul 27 - Aug 1</v>
      </c>
      <c r="B101" s="3">
        <v>46230</v>
      </c>
      <c r="C101" s="2" t="s">
        <v>283</v>
      </c>
      <c r="D101" s="2"/>
      <c r="E101" s="2" t="s">
        <v>284</v>
      </c>
      <c r="F101" s="2" t="s">
        <v>43</v>
      </c>
      <c r="G101" s="2" t="s">
        <v>23</v>
      </c>
      <c r="H101" s="2"/>
      <c r="I101" s="2"/>
      <c r="J101" s="2" t="s">
        <v>285</v>
      </c>
      <c r="K101" s="2" t="s">
        <v>25</v>
      </c>
      <c r="L101" s="2"/>
      <c r="M101" s="2"/>
      <c r="N101" s="3"/>
      <c r="O101" s="2" t="s">
        <v>286</v>
      </c>
    </row>
    <row r="102" spans="1:15" ht="15" customHeight="1" x14ac:dyDescent="0.25">
      <c r="A102" s="2" t="str">
        <f t="shared" si="1"/>
        <v>Jul 27 - Aug 1</v>
      </c>
      <c r="B102" s="3">
        <v>46230</v>
      </c>
      <c r="C102" s="2" t="s">
        <v>287</v>
      </c>
      <c r="D102" s="2"/>
      <c r="E102" s="2" t="s">
        <v>288</v>
      </c>
      <c r="F102" s="2" t="s">
        <v>31</v>
      </c>
      <c r="G102" s="2"/>
      <c r="H102" s="2"/>
      <c r="I102" s="2"/>
      <c r="J102" s="2"/>
      <c r="K102" s="2" t="s">
        <v>25</v>
      </c>
      <c r="L102" s="2"/>
      <c r="M102" s="2"/>
      <c r="N102" s="3"/>
      <c r="O102" s="2" t="s">
        <v>289</v>
      </c>
    </row>
    <row r="103" spans="1:15" ht="15" customHeight="1" x14ac:dyDescent="0.25">
      <c r="A103" s="2" t="str">
        <f t="shared" si="1"/>
        <v>Jul 27 - Aug 1</v>
      </c>
      <c r="B103" s="3">
        <v>46230</v>
      </c>
      <c r="C103" s="2" t="s">
        <v>290</v>
      </c>
      <c r="D103" s="2"/>
      <c r="E103" s="2" t="s">
        <v>291</v>
      </c>
      <c r="F103" s="2" t="s">
        <v>39</v>
      </c>
      <c r="G103" s="2" t="s">
        <v>135</v>
      </c>
      <c r="H103" s="2"/>
      <c r="I103" s="2"/>
      <c r="J103" s="2" t="s">
        <v>292</v>
      </c>
      <c r="K103" s="2" t="s">
        <v>25</v>
      </c>
      <c r="L103" s="2"/>
      <c r="M103" s="2"/>
      <c r="N103" s="3"/>
      <c r="O103" s="2" t="s">
        <v>293</v>
      </c>
    </row>
    <row r="104" spans="1:15" ht="15" customHeight="1" x14ac:dyDescent="0.25">
      <c r="A104" s="2" t="str">
        <f t="shared" si="1"/>
        <v>Jul 27 - Aug 1</v>
      </c>
      <c r="B104" s="3">
        <v>46230</v>
      </c>
      <c r="C104" s="2" t="s">
        <v>294</v>
      </c>
      <c r="D104" s="2"/>
      <c r="E104" s="2" t="s">
        <v>295</v>
      </c>
      <c r="F104" s="2" t="s">
        <v>39</v>
      </c>
      <c r="G104" s="2" t="s">
        <v>135</v>
      </c>
      <c r="H104" s="2"/>
      <c r="I104" s="2"/>
      <c r="J104" s="2" t="s">
        <v>292</v>
      </c>
      <c r="K104" s="2" t="s">
        <v>25</v>
      </c>
      <c r="L104" s="2"/>
      <c r="M104" s="2"/>
      <c r="N104" s="3"/>
      <c r="O104" s="2" t="s">
        <v>296</v>
      </c>
    </row>
    <row r="105" spans="1:15" ht="15" customHeight="1" x14ac:dyDescent="0.25">
      <c r="A105" s="2" t="str">
        <f t="shared" si="1"/>
        <v>Jul 27 - Aug 1</v>
      </c>
      <c r="B105" s="3">
        <v>46230</v>
      </c>
      <c r="C105" s="2" t="s">
        <v>297</v>
      </c>
      <c r="D105" s="2"/>
      <c r="E105" s="2" t="s">
        <v>35</v>
      </c>
      <c r="F105" s="2" t="s">
        <v>22</v>
      </c>
      <c r="G105" s="2"/>
      <c r="H105" s="2"/>
      <c r="I105" s="2"/>
      <c r="J105" s="2"/>
      <c r="K105" s="2" t="s">
        <v>25</v>
      </c>
      <c r="L105" s="2"/>
      <c r="M105" s="2"/>
      <c r="N105" s="3"/>
      <c r="O105" s="2" t="s">
        <v>298</v>
      </c>
    </row>
    <row r="106" spans="1:15" ht="15" customHeight="1" x14ac:dyDescent="0.25">
      <c r="A106" s="2" t="str">
        <f t="shared" si="1"/>
        <v>Jul 27 - Aug 1</v>
      </c>
      <c r="B106" s="3">
        <v>46232</v>
      </c>
      <c r="C106" s="2" t="s">
        <v>246</v>
      </c>
      <c r="D106" s="2"/>
      <c r="E106" s="2" t="s">
        <v>247</v>
      </c>
      <c r="F106" s="2" t="s">
        <v>31</v>
      </c>
      <c r="G106" s="2"/>
      <c r="H106" s="2"/>
      <c r="I106" s="2"/>
      <c r="J106" s="2"/>
      <c r="K106" s="2" t="s">
        <v>25</v>
      </c>
      <c r="L106" s="2"/>
      <c r="M106" s="2"/>
      <c r="N106" s="3"/>
      <c r="O106" s="2" t="s">
        <v>299</v>
      </c>
    </row>
    <row r="107" spans="1:15" ht="15" customHeight="1" x14ac:dyDescent="0.25">
      <c r="A107" s="2" t="str">
        <f t="shared" si="1"/>
        <v>Jul 27 - Aug 1</v>
      </c>
      <c r="B107" s="3">
        <v>46232</v>
      </c>
      <c r="C107" s="2" t="s">
        <v>300</v>
      </c>
      <c r="D107" s="2"/>
      <c r="E107" s="2" t="s">
        <v>75</v>
      </c>
      <c r="F107" s="2" t="s">
        <v>22</v>
      </c>
      <c r="G107" s="2"/>
      <c r="H107" s="2"/>
      <c r="I107" s="2"/>
      <c r="J107" s="2"/>
      <c r="K107" s="2" t="s">
        <v>25</v>
      </c>
      <c r="L107" s="2"/>
      <c r="M107" s="2"/>
      <c r="N107" s="3"/>
      <c r="O107" s="2" t="s">
        <v>301</v>
      </c>
    </row>
    <row r="108" spans="1:15" ht="15" customHeight="1" x14ac:dyDescent="0.25">
      <c r="A108" s="2" t="str">
        <f t="shared" si="1"/>
        <v>Jul 27 - Aug 1</v>
      </c>
      <c r="B108" s="3">
        <v>46233</v>
      </c>
      <c r="C108" s="2" t="s">
        <v>302</v>
      </c>
      <c r="D108" s="2"/>
      <c r="E108" s="2" t="s">
        <v>303</v>
      </c>
      <c r="F108" s="2" t="s">
        <v>43</v>
      </c>
      <c r="G108" s="2" t="s">
        <v>23</v>
      </c>
      <c r="H108" s="2"/>
      <c r="I108" s="2"/>
      <c r="J108" s="2" t="s">
        <v>87</v>
      </c>
      <c r="K108" s="2" t="s">
        <v>25</v>
      </c>
      <c r="L108" s="2"/>
      <c r="M108" s="2"/>
      <c r="N108" s="3"/>
      <c r="O108" s="2" t="s">
        <v>304</v>
      </c>
    </row>
    <row r="109" spans="1:15" ht="15" customHeight="1" x14ac:dyDescent="0.25">
      <c r="A109" s="2" t="str">
        <f t="shared" si="1"/>
        <v>Jul 27 - Aug 1</v>
      </c>
      <c r="B109" s="3">
        <v>46233</v>
      </c>
      <c r="C109" s="2" t="s">
        <v>305</v>
      </c>
      <c r="D109" s="4" t="s">
        <v>306</v>
      </c>
      <c r="E109" s="2" t="s">
        <v>307</v>
      </c>
      <c r="F109" s="2" t="s">
        <v>43</v>
      </c>
      <c r="G109" s="2" t="s">
        <v>23</v>
      </c>
      <c r="H109" s="2"/>
      <c r="I109" s="2"/>
      <c r="J109" s="2" t="s">
        <v>87</v>
      </c>
      <c r="K109" s="2" t="s">
        <v>25</v>
      </c>
      <c r="L109" s="2"/>
      <c r="M109" s="2"/>
      <c r="N109" s="3"/>
      <c r="O109" s="2" t="s">
        <v>308</v>
      </c>
    </row>
    <row r="110" spans="1:15" ht="15" customHeight="1" x14ac:dyDescent="0.25">
      <c r="A110" s="2" t="str">
        <f t="shared" si="1"/>
        <v>Jul 27 - Aug 1</v>
      </c>
      <c r="B110" s="3">
        <v>46231</v>
      </c>
      <c r="C110" s="2" t="s">
        <v>309</v>
      </c>
      <c r="D110" s="2"/>
      <c r="E110" s="2"/>
      <c r="F110" s="2"/>
      <c r="G110" s="2"/>
      <c r="H110" s="2"/>
      <c r="I110" s="2"/>
      <c r="J110" s="2"/>
      <c r="K110" s="2" t="s">
        <v>25</v>
      </c>
      <c r="L110" s="2"/>
      <c r="M110" s="2"/>
      <c r="N110" s="3"/>
      <c r="O110" s="2" t="s">
        <v>310</v>
      </c>
    </row>
    <row r="111" spans="1:15" ht="15" customHeight="1" x14ac:dyDescent="0.25">
      <c r="A111" s="2" t="str">
        <f t="shared" si="1"/>
        <v>Jul 27 - Aug 1</v>
      </c>
      <c r="B111" s="3">
        <v>46232</v>
      </c>
      <c r="C111" s="2" t="s">
        <v>311</v>
      </c>
      <c r="D111" s="2"/>
      <c r="E111" s="2"/>
      <c r="F111" s="2" t="s">
        <v>43</v>
      </c>
      <c r="G111" s="2" t="s">
        <v>23</v>
      </c>
      <c r="H111" s="2"/>
      <c r="I111" s="2"/>
      <c r="J111" s="2"/>
      <c r="K111" s="2" t="s">
        <v>25</v>
      </c>
      <c r="L111" s="2"/>
      <c r="M111" s="2"/>
      <c r="N111" s="3"/>
      <c r="O111" s="2" t="s">
        <v>312</v>
      </c>
    </row>
    <row r="112" spans="1:15" ht="15" customHeight="1" x14ac:dyDescent="0.25">
      <c r="A112" s="2" t="str">
        <f t="shared" si="1"/>
        <v>Jul 27 - Aug 1</v>
      </c>
      <c r="B112" s="3">
        <v>46232</v>
      </c>
      <c r="C112" s="2" t="s">
        <v>313</v>
      </c>
      <c r="D112" s="2"/>
      <c r="E112" s="2"/>
      <c r="F112" s="2" t="s">
        <v>43</v>
      </c>
      <c r="G112" s="2"/>
      <c r="H112" s="2"/>
      <c r="I112" s="2"/>
      <c r="J112" s="2"/>
      <c r="K112" s="2" t="s">
        <v>25</v>
      </c>
      <c r="L112" s="2"/>
      <c r="M112" s="2"/>
      <c r="N112" s="3"/>
      <c r="O112" s="2" t="s">
        <v>314</v>
      </c>
    </row>
    <row r="113" spans="1:15" ht="15" customHeight="1" x14ac:dyDescent="0.25">
      <c r="A113" s="2" t="str">
        <f t="shared" si="1"/>
        <v>Jul 27 - Aug 1</v>
      </c>
      <c r="B113" s="3">
        <v>46232</v>
      </c>
      <c r="C113" s="2" t="s">
        <v>143</v>
      </c>
      <c r="D113" s="4" t="s">
        <v>144</v>
      </c>
      <c r="E113" s="2"/>
      <c r="F113" s="2" t="s">
        <v>43</v>
      </c>
      <c r="G113" s="2"/>
      <c r="H113" s="2"/>
      <c r="I113" s="2"/>
      <c r="J113" s="2"/>
      <c r="K113" s="2" t="s">
        <v>25</v>
      </c>
      <c r="L113" s="2"/>
      <c r="M113" s="2"/>
      <c r="N113" s="3"/>
      <c r="O113" s="2" t="s">
        <v>261</v>
      </c>
    </row>
    <row r="114" spans="1:15" ht="15" customHeight="1" x14ac:dyDescent="0.25">
      <c r="A114" s="2" t="str">
        <f t="shared" si="1"/>
        <v>Jul 27 - Aug 1</v>
      </c>
      <c r="B114" s="3">
        <v>46232</v>
      </c>
      <c r="C114" s="2" t="s">
        <v>226</v>
      </c>
      <c r="D114" s="2"/>
      <c r="E114" s="2" t="s">
        <v>227</v>
      </c>
      <c r="F114" s="2" t="s">
        <v>39</v>
      </c>
      <c r="G114" s="2"/>
      <c r="H114" s="2"/>
      <c r="I114" s="2"/>
      <c r="J114" s="2"/>
      <c r="K114" s="2" t="s">
        <v>25</v>
      </c>
      <c r="L114" s="2"/>
      <c r="M114" s="2"/>
      <c r="N114" s="3"/>
      <c r="O114" s="2" t="s">
        <v>315</v>
      </c>
    </row>
    <row r="115" spans="1:15" ht="15" customHeight="1" x14ac:dyDescent="0.25">
      <c r="A115" s="2" t="str">
        <f t="shared" si="1"/>
        <v>Jul 27 - Aug 1</v>
      </c>
      <c r="B115" s="3">
        <v>46232</v>
      </c>
      <c r="C115" s="2" t="s">
        <v>316</v>
      </c>
      <c r="D115" s="2"/>
      <c r="E115" s="2" t="s">
        <v>317</v>
      </c>
      <c r="F115" s="2" t="s">
        <v>31</v>
      </c>
      <c r="G115" s="2"/>
      <c r="H115" s="2"/>
      <c r="I115" s="2"/>
      <c r="J115" s="2"/>
      <c r="K115" s="2" t="s">
        <v>25</v>
      </c>
      <c r="L115" s="2"/>
      <c r="M115" s="2"/>
      <c r="N115" s="3"/>
      <c r="O115" s="2" t="s">
        <v>318</v>
      </c>
    </row>
    <row r="116" spans="1:15" ht="15" customHeight="1" x14ac:dyDescent="0.25">
      <c r="A116" s="2" t="str">
        <f t="shared" si="1"/>
        <v/>
      </c>
      <c r="B116" s="3"/>
      <c r="C116" s="2" t="s">
        <v>319</v>
      </c>
      <c r="D116" s="4" t="s">
        <v>320</v>
      </c>
      <c r="E116" s="2" t="s">
        <v>321</v>
      </c>
      <c r="F116" s="2" t="s">
        <v>43</v>
      </c>
      <c r="G116" s="2"/>
      <c r="H116" s="2"/>
      <c r="I116" s="2"/>
      <c r="J116" s="2"/>
      <c r="K116" s="2"/>
      <c r="L116" s="2"/>
      <c r="M116" s="2"/>
      <c r="N116" s="3"/>
      <c r="O116" s="2" t="s">
        <v>322</v>
      </c>
    </row>
    <row r="117" spans="1:15" ht="15" customHeight="1" x14ac:dyDescent="0.25">
      <c r="A117" s="2" t="str">
        <f t="shared" si="1"/>
        <v/>
      </c>
      <c r="B117" s="3"/>
      <c r="C117" s="2" t="s">
        <v>323</v>
      </c>
      <c r="D117" s="4" t="s">
        <v>324</v>
      </c>
      <c r="E117" s="2"/>
      <c r="F117" s="2" t="s">
        <v>43</v>
      </c>
      <c r="G117" s="2"/>
      <c r="H117" s="2"/>
      <c r="I117" s="2"/>
      <c r="J117" s="2"/>
      <c r="K117" s="2"/>
      <c r="L117" s="2"/>
      <c r="M117" s="2"/>
      <c r="N117" s="3"/>
      <c r="O117" s="2" t="s">
        <v>325</v>
      </c>
    </row>
    <row r="118" spans="1:15" ht="15" customHeight="1" x14ac:dyDescent="0.25">
      <c r="A118" s="2" t="str">
        <f t="shared" si="1"/>
        <v/>
      </c>
      <c r="B118" s="3"/>
      <c r="C118" s="2" t="s">
        <v>326</v>
      </c>
      <c r="D118" s="2"/>
      <c r="E118" s="2" t="s">
        <v>327</v>
      </c>
      <c r="F118" s="2" t="s">
        <v>43</v>
      </c>
      <c r="G118" s="2"/>
      <c r="H118" s="2"/>
      <c r="I118" s="2"/>
      <c r="J118" s="2"/>
      <c r="K118" s="2"/>
      <c r="L118" s="2"/>
      <c r="M118" s="2"/>
      <c r="N118" s="3"/>
      <c r="O118" s="2"/>
    </row>
    <row r="119" spans="1:15" ht="15" customHeight="1" x14ac:dyDescent="0.25">
      <c r="A119" s="2" t="str">
        <f t="shared" si="1"/>
        <v/>
      </c>
      <c r="B119" s="3"/>
      <c r="C119" s="2" t="s">
        <v>328</v>
      </c>
      <c r="D119" s="4" t="s">
        <v>329</v>
      </c>
      <c r="E119" s="2" t="s">
        <v>330</v>
      </c>
      <c r="F119" s="2" t="s">
        <v>43</v>
      </c>
      <c r="G119" s="2"/>
      <c r="H119" s="2"/>
      <c r="I119" s="2"/>
      <c r="J119" s="2"/>
      <c r="K119" s="2"/>
      <c r="L119" s="2"/>
      <c r="M119" s="2"/>
      <c r="N119" s="3"/>
      <c r="O119" s="2" t="s">
        <v>331</v>
      </c>
    </row>
    <row r="120" spans="1:15" ht="15" customHeight="1" x14ac:dyDescent="0.25">
      <c r="A120" s="2" t="str">
        <f t="shared" si="1"/>
        <v/>
      </c>
      <c r="B120" s="3"/>
      <c r="C120" s="2" t="s">
        <v>332</v>
      </c>
      <c r="D120" s="4" t="s">
        <v>333</v>
      </c>
      <c r="E120" s="2" t="s">
        <v>334</v>
      </c>
      <c r="F120" s="2" t="s">
        <v>43</v>
      </c>
      <c r="G120" s="2"/>
      <c r="H120" s="2"/>
      <c r="I120" s="2"/>
      <c r="J120" s="2"/>
      <c r="K120" s="2"/>
      <c r="L120" s="2"/>
      <c r="M120" s="2"/>
      <c r="N120" s="3"/>
      <c r="O120" s="2" t="s">
        <v>335</v>
      </c>
    </row>
    <row r="121" spans="1:15" ht="15" customHeight="1" x14ac:dyDescent="0.25">
      <c r="A121" s="2" t="str">
        <f t="shared" si="1"/>
        <v/>
      </c>
      <c r="B121" s="3"/>
      <c r="C121" s="2" t="s">
        <v>336</v>
      </c>
      <c r="D121" s="2"/>
      <c r="E121" s="2" t="s">
        <v>337</v>
      </c>
      <c r="F121" s="2" t="s">
        <v>43</v>
      </c>
      <c r="G121" s="2"/>
      <c r="H121" s="2"/>
      <c r="I121" s="2"/>
      <c r="J121" s="2"/>
      <c r="K121" s="2"/>
      <c r="L121" s="2"/>
      <c r="M121" s="2"/>
      <c r="N121" s="3"/>
      <c r="O121" s="2" t="s">
        <v>338</v>
      </c>
    </row>
    <row r="122" spans="1:15" ht="15" customHeight="1" x14ac:dyDescent="0.25">
      <c r="A122" s="2" t="str">
        <f t="shared" si="1"/>
        <v/>
      </c>
      <c r="B122" s="3"/>
      <c r="C122" s="2" t="s">
        <v>339</v>
      </c>
      <c r="D122" s="2"/>
      <c r="E122" s="2" t="s">
        <v>340</v>
      </c>
      <c r="F122" s="2" t="s">
        <v>43</v>
      </c>
      <c r="G122" s="2"/>
      <c r="H122" s="2"/>
      <c r="I122" s="2"/>
      <c r="J122" s="2"/>
      <c r="K122" s="2"/>
      <c r="L122" s="2"/>
      <c r="M122" s="2"/>
      <c r="N122" s="3"/>
      <c r="O122" s="2" t="s">
        <v>341</v>
      </c>
    </row>
    <row r="123" spans="1:15" ht="15" customHeight="1" x14ac:dyDescent="0.25">
      <c r="A123" s="2" t="str">
        <f t="shared" si="1"/>
        <v/>
      </c>
      <c r="B123" s="3"/>
      <c r="C123" s="2" t="s">
        <v>342</v>
      </c>
      <c r="D123" s="2"/>
      <c r="E123" s="2" t="s">
        <v>343</v>
      </c>
      <c r="F123" s="2" t="s">
        <v>43</v>
      </c>
      <c r="G123" s="2"/>
      <c r="H123" s="2"/>
      <c r="I123" s="2"/>
      <c r="J123" s="2"/>
      <c r="K123" s="2"/>
      <c r="L123" s="2"/>
      <c r="M123" s="2"/>
      <c r="N123" s="3"/>
      <c r="O123" s="2" t="s">
        <v>344</v>
      </c>
    </row>
    <row r="124" spans="1:15" ht="15" customHeight="1" x14ac:dyDescent="0.25">
      <c r="A124" s="2" t="str">
        <f t="shared" si="1"/>
        <v/>
      </c>
      <c r="B124" s="3"/>
      <c r="C124" s="2" t="s">
        <v>215</v>
      </c>
      <c r="D124" s="4" t="s">
        <v>216</v>
      </c>
      <c r="E124" s="2"/>
      <c r="F124" s="2" t="s">
        <v>43</v>
      </c>
      <c r="G124" s="2" t="s">
        <v>23</v>
      </c>
      <c r="H124" s="2"/>
      <c r="I124" s="2"/>
      <c r="J124" s="2" t="s">
        <v>217</v>
      </c>
      <c r="K124" s="2"/>
      <c r="L124" s="2"/>
      <c r="M124" s="2"/>
      <c r="N124" s="3"/>
      <c r="O124" s="2" t="s">
        <v>218</v>
      </c>
    </row>
    <row r="125" spans="1:15" ht="15" customHeight="1" x14ac:dyDescent="0.25">
      <c r="A125" s="2" t="str">
        <f t="shared" si="1"/>
        <v/>
      </c>
      <c r="B125" s="3"/>
      <c r="C125" s="2" t="s">
        <v>345</v>
      </c>
      <c r="D125" s="2"/>
      <c r="E125" s="2" t="s">
        <v>346</v>
      </c>
      <c r="F125" s="2" t="s">
        <v>31</v>
      </c>
      <c r="G125" s="2"/>
      <c r="H125" s="2"/>
      <c r="I125" s="2"/>
      <c r="J125" s="2"/>
      <c r="K125" s="2"/>
      <c r="L125" s="2"/>
      <c r="M125" s="2"/>
      <c r="N125" s="3"/>
      <c r="O125" s="2" t="s">
        <v>347</v>
      </c>
    </row>
    <row r="126" spans="1:15" ht="15" customHeight="1" x14ac:dyDescent="0.25">
      <c r="A126" s="2" t="str">
        <f t="shared" si="1"/>
        <v/>
      </c>
      <c r="B126" s="3"/>
      <c r="C126" s="2" t="s">
        <v>348</v>
      </c>
      <c r="D126" s="2"/>
      <c r="E126" s="2" t="s">
        <v>349</v>
      </c>
      <c r="F126" s="2" t="s">
        <v>221</v>
      </c>
      <c r="G126" s="2"/>
      <c r="H126" s="2"/>
      <c r="I126" s="2"/>
      <c r="J126" s="2"/>
      <c r="K126" s="2"/>
      <c r="L126" s="2"/>
      <c r="M126" s="2"/>
      <c r="N126" s="3"/>
      <c r="O126" s="2" t="s">
        <v>350</v>
      </c>
    </row>
    <row r="127" spans="1:15" ht="15" customHeight="1" x14ac:dyDescent="0.25">
      <c r="A127" s="2" t="str">
        <f t="shared" si="1"/>
        <v>Jul 27 - Aug 1</v>
      </c>
      <c r="B127" s="3">
        <v>46233</v>
      </c>
      <c r="C127" s="2" t="s">
        <v>351</v>
      </c>
      <c r="D127" s="2"/>
      <c r="E127" s="2" t="s">
        <v>352</v>
      </c>
      <c r="F127" s="2" t="s">
        <v>43</v>
      </c>
      <c r="G127" s="2"/>
      <c r="H127" s="2"/>
      <c r="I127" s="2"/>
      <c r="J127" s="2"/>
      <c r="K127" s="2" t="s">
        <v>25</v>
      </c>
      <c r="L127" s="2"/>
      <c r="M127" s="2"/>
      <c r="N127" s="3"/>
      <c r="O127" s="2" t="s">
        <v>353</v>
      </c>
    </row>
    <row r="128" spans="1:15" ht="15" customHeight="1" x14ac:dyDescent="0.25">
      <c r="A128" s="2" t="str">
        <f t="shared" si="1"/>
        <v/>
      </c>
      <c r="B128" s="3"/>
      <c r="C128" s="2" t="s">
        <v>354</v>
      </c>
      <c r="D128" s="4" t="s">
        <v>355</v>
      </c>
      <c r="E128" s="2" t="s">
        <v>356</v>
      </c>
      <c r="F128" s="2" t="s">
        <v>43</v>
      </c>
      <c r="G128" s="2"/>
      <c r="H128" s="2"/>
      <c r="I128" s="2"/>
      <c r="J128" s="2"/>
      <c r="K128" s="2"/>
      <c r="L128" s="2"/>
      <c r="M128" s="2"/>
      <c r="N128" s="3"/>
      <c r="O128" s="2" t="s">
        <v>357</v>
      </c>
    </row>
    <row r="129" spans="1:15" ht="15" customHeight="1" x14ac:dyDescent="0.25">
      <c r="A129" s="2" t="str">
        <f t="shared" si="1"/>
        <v/>
      </c>
      <c r="B129" s="3"/>
      <c r="C129" s="2" t="s">
        <v>358</v>
      </c>
      <c r="D129" s="4" t="s">
        <v>359</v>
      </c>
      <c r="E129" s="5" t="s">
        <v>360</v>
      </c>
      <c r="F129" s="2" t="s">
        <v>31</v>
      </c>
      <c r="G129" s="2"/>
      <c r="H129" s="2"/>
      <c r="I129" s="2"/>
      <c r="J129" s="2"/>
      <c r="K129" s="2"/>
      <c r="L129" s="2"/>
      <c r="M129" s="2"/>
      <c r="N129" s="3"/>
      <c r="O129" s="2" t="s">
        <v>361</v>
      </c>
    </row>
    <row r="130" spans="1:15" ht="15" customHeight="1" x14ac:dyDescent="0.25">
      <c r="A130" s="2" t="str">
        <f t="shared" ref="A130:A193" si="2">IF(B130="","",TEXT(B130-(WEEKDAY(B130,2)-1),"mmm d")&amp;" - "&amp;TEXT(B130-(WEEKDAY(B130,2)-1)+5,"mmm d"))</f>
        <v>Aug 3 - Aug 8</v>
      </c>
      <c r="B130" s="3">
        <v>46239</v>
      </c>
      <c r="C130" s="2" t="s">
        <v>362</v>
      </c>
      <c r="D130" s="2"/>
      <c r="E130" s="2" t="s">
        <v>363</v>
      </c>
      <c r="F130" s="2"/>
      <c r="G130" s="2"/>
      <c r="H130" s="2"/>
      <c r="I130" s="2"/>
      <c r="J130" s="2"/>
      <c r="K130" s="2" t="s">
        <v>25</v>
      </c>
      <c r="L130" s="2"/>
      <c r="M130" s="2"/>
      <c r="N130" s="3"/>
      <c r="O130" s="2" t="s">
        <v>364</v>
      </c>
    </row>
    <row r="131" spans="1:15" ht="15" customHeight="1" x14ac:dyDescent="0.25">
      <c r="A131" s="2" t="str">
        <f t="shared" si="2"/>
        <v>Jul 27 - Aug 1</v>
      </c>
      <c r="B131" s="3">
        <v>46233</v>
      </c>
      <c r="C131" s="2" t="s">
        <v>365</v>
      </c>
      <c r="D131" s="2"/>
      <c r="E131" s="2" t="s">
        <v>366</v>
      </c>
      <c r="F131" s="2"/>
      <c r="G131" s="2"/>
      <c r="H131" s="2"/>
      <c r="I131" s="2"/>
      <c r="J131" s="2"/>
      <c r="K131" s="2" t="s">
        <v>25</v>
      </c>
      <c r="L131" s="2"/>
      <c r="M131" s="2"/>
      <c r="N131" s="3"/>
      <c r="O131" s="2" t="s">
        <v>367</v>
      </c>
    </row>
    <row r="132" spans="1:15" ht="15" customHeight="1" x14ac:dyDescent="0.25">
      <c r="A132" s="2" t="str">
        <f t="shared" si="2"/>
        <v>Aug 3 - Aug 8</v>
      </c>
      <c r="B132" s="3">
        <v>46238</v>
      </c>
      <c r="C132" s="2" t="s">
        <v>368</v>
      </c>
      <c r="D132" s="4" t="s">
        <v>369</v>
      </c>
      <c r="E132" s="2"/>
      <c r="F132" s="2"/>
      <c r="G132" s="2" t="s">
        <v>113</v>
      </c>
      <c r="H132" s="2"/>
      <c r="I132" s="2"/>
      <c r="J132" s="2"/>
      <c r="K132" s="2" t="s">
        <v>25</v>
      </c>
      <c r="L132" s="2"/>
      <c r="M132" s="2"/>
      <c r="N132" s="3"/>
      <c r="O132" s="2" t="s">
        <v>370</v>
      </c>
    </row>
    <row r="133" spans="1:15" ht="15" customHeight="1" x14ac:dyDescent="0.25">
      <c r="A133" s="2" t="str">
        <f t="shared" si="2"/>
        <v>Aug 3 - Aug 8</v>
      </c>
      <c r="B133" s="3">
        <v>46238</v>
      </c>
      <c r="C133" s="2" t="s">
        <v>371</v>
      </c>
      <c r="D133" s="2"/>
      <c r="E133" s="2"/>
      <c r="F133" s="2"/>
      <c r="G133" s="2"/>
      <c r="H133" s="2"/>
      <c r="I133" s="2"/>
      <c r="J133" s="2"/>
      <c r="K133" s="2" t="s">
        <v>25</v>
      </c>
      <c r="L133" s="2"/>
      <c r="M133" s="2"/>
      <c r="N133" s="3"/>
      <c r="O133" s="2" t="s">
        <v>372</v>
      </c>
    </row>
    <row r="134" spans="1:15" ht="15" customHeight="1" x14ac:dyDescent="0.25">
      <c r="A134" s="2" t="str">
        <f t="shared" si="2"/>
        <v>Aug 3 - Aug 8</v>
      </c>
      <c r="B134" s="3">
        <v>46238</v>
      </c>
      <c r="C134" s="2" t="s">
        <v>143</v>
      </c>
      <c r="D134" s="2"/>
      <c r="E134" s="2"/>
      <c r="F134" s="2"/>
      <c r="G134" s="2"/>
      <c r="H134" s="2"/>
      <c r="I134" s="2"/>
      <c r="J134" s="2"/>
      <c r="K134" s="2" t="s">
        <v>25</v>
      </c>
      <c r="L134" s="2"/>
      <c r="M134" s="2"/>
      <c r="N134" s="3"/>
      <c r="O134" s="2" t="s">
        <v>373</v>
      </c>
    </row>
    <row r="135" spans="1:15" ht="15" customHeight="1" x14ac:dyDescent="0.25">
      <c r="A135" s="2" t="str">
        <f t="shared" si="2"/>
        <v>Aug 3 - Aug 8</v>
      </c>
      <c r="B135" s="3">
        <v>46238</v>
      </c>
      <c r="C135" s="2" t="s">
        <v>374</v>
      </c>
      <c r="D135" s="2"/>
      <c r="E135" s="2" t="s">
        <v>375</v>
      </c>
      <c r="F135" s="2" t="s">
        <v>31</v>
      </c>
      <c r="G135" s="2" t="s">
        <v>113</v>
      </c>
      <c r="H135" s="2"/>
      <c r="I135" s="2"/>
      <c r="J135" s="2"/>
      <c r="K135" s="2" t="s">
        <v>25</v>
      </c>
      <c r="L135" s="2"/>
      <c r="M135" s="2"/>
      <c r="N135" s="3"/>
      <c r="O135" s="2" t="s">
        <v>376</v>
      </c>
    </row>
    <row r="136" spans="1:15" ht="15" customHeight="1" x14ac:dyDescent="0.25">
      <c r="A136" s="2" t="str">
        <f t="shared" si="2"/>
        <v>Aug 3 - Aug 8</v>
      </c>
      <c r="B136" s="3">
        <v>46238</v>
      </c>
      <c r="C136" s="2" t="s">
        <v>377</v>
      </c>
      <c r="D136" s="2"/>
      <c r="E136" s="2"/>
      <c r="F136" s="2"/>
      <c r="G136" s="2" t="s">
        <v>113</v>
      </c>
      <c r="H136" s="2"/>
      <c r="I136" s="2"/>
      <c r="J136" s="2"/>
      <c r="K136" s="2" t="s">
        <v>18</v>
      </c>
      <c r="L136" s="2"/>
      <c r="M136" s="2"/>
      <c r="N136" s="3"/>
      <c r="O136" s="2" t="s">
        <v>378</v>
      </c>
    </row>
    <row r="137" spans="1:15" ht="15" customHeight="1" x14ac:dyDescent="0.25">
      <c r="A137" s="2" t="str">
        <f t="shared" si="2"/>
        <v>Aug 3 - Aug 8</v>
      </c>
      <c r="B137" s="3">
        <v>46239</v>
      </c>
      <c r="C137" s="2" t="s">
        <v>379</v>
      </c>
      <c r="D137" s="2"/>
      <c r="E137" s="2" t="s">
        <v>380</v>
      </c>
      <c r="F137" s="2"/>
      <c r="G137" s="2" t="s">
        <v>113</v>
      </c>
      <c r="H137" s="2"/>
      <c r="I137" s="2"/>
      <c r="J137" s="2"/>
      <c r="K137" s="2" t="s">
        <v>25</v>
      </c>
      <c r="L137" s="2"/>
      <c r="M137" s="2"/>
      <c r="N137" s="3"/>
      <c r="O137" s="2" t="s">
        <v>381</v>
      </c>
    </row>
    <row r="138" spans="1:15" ht="15" customHeight="1" x14ac:dyDescent="0.25">
      <c r="A138" s="2" t="str">
        <f t="shared" si="2"/>
        <v>Aug 3 - Aug 8</v>
      </c>
      <c r="B138" s="3">
        <v>46239</v>
      </c>
      <c r="C138" s="2" t="s">
        <v>382</v>
      </c>
      <c r="D138" s="2"/>
      <c r="E138" s="2"/>
      <c r="F138" s="2"/>
      <c r="G138" s="2"/>
      <c r="H138" s="2"/>
      <c r="I138" s="2"/>
      <c r="J138" s="2"/>
      <c r="K138" s="2" t="s">
        <v>25</v>
      </c>
      <c r="L138" s="2"/>
      <c r="M138" s="2"/>
      <c r="N138" s="3"/>
      <c r="O138" s="2" t="s">
        <v>383</v>
      </c>
    </row>
    <row r="139" spans="1:15" ht="15" customHeight="1" x14ac:dyDescent="0.25">
      <c r="A139" s="2" t="str">
        <f t="shared" si="2"/>
        <v>Aug 3 - Aug 8</v>
      </c>
      <c r="B139" s="3">
        <v>46239</v>
      </c>
      <c r="C139" s="2" t="s">
        <v>384</v>
      </c>
      <c r="D139" s="2"/>
      <c r="E139" s="2" t="s">
        <v>385</v>
      </c>
      <c r="F139" s="2"/>
      <c r="G139" s="2" t="s">
        <v>47</v>
      </c>
      <c r="H139" s="2"/>
      <c r="I139" s="2"/>
      <c r="J139" s="2"/>
      <c r="K139" s="2" t="s">
        <v>25</v>
      </c>
      <c r="L139" s="2"/>
      <c r="M139" s="2"/>
      <c r="N139" s="3"/>
      <c r="O139" s="2" t="s">
        <v>386</v>
      </c>
    </row>
    <row r="140" spans="1:15" ht="15" customHeight="1" x14ac:dyDescent="0.25">
      <c r="A140" s="2" t="str">
        <f t="shared" si="2"/>
        <v>Aug 3 - Aug 8</v>
      </c>
      <c r="B140" s="3">
        <v>46239</v>
      </c>
      <c r="C140" s="2" t="s">
        <v>387</v>
      </c>
      <c r="D140" s="2"/>
      <c r="E140" s="2" t="s">
        <v>388</v>
      </c>
      <c r="F140" s="2" t="s">
        <v>118</v>
      </c>
      <c r="G140" s="2" t="s">
        <v>47</v>
      </c>
      <c r="H140" s="2"/>
      <c r="I140" s="2"/>
      <c r="J140" s="2"/>
      <c r="K140" s="2" t="s">
        <v>25</v>
      </c>
      <c r="L140" s="2"/>
      <c r="M140" s="2"/>
      <c r="N140" s="3"/>
      <c r="O140" s="2" t="s">
        <v>389</v>
      </c>
    </row>
    <row r="141" spans="1:15" ht="15" customHeight="1" x14ac:dyDescent="0.25">
      <c r="A141" s="2" t="str">
        <f t="shared" si="2"/>
        <v>Aug 3 - Aug 8</v>
      </c>
      <c r="B141" s="3">
        <v>46239</v>
      </c>
      <c r="C141" s="2" t="s">
        <v>390</v>
      </c>
      <c r="D141" s="4" t="s">
        <v>391</v>
      </c>
      <c r="E141" s="2"/>
      <c r="F141" s="2"/>
      <c r="G141" s="2" t="s">
        <v>113</v>
      </c>
      <c r="H141" s="2"/>
      <c r="I141" s="2"/>
      <c r="J141" s="2"/>
      <c r="K141" s="2" t="s">
        <v>25</v>
      </c>
      <c r="L141" s="2"/>
      <c r="M141" s="2"/>
      <c r="N141" s="3"/>
      <c r="O141" s="2" t="s">
        <v>392</v>
      </c>
    </row>
    <row r="142" spans="1:15" ht="15" customHeight="1" x14ac:dyDescent="0.25">
      <c r="A142" s="2" t="str">
        <f t="shared" si="2"/>
        <v>Aug 3 - Aug 8</v>
      </c>
      <c r="B142" s="3">
        <v>46239</v>
      </c>
      <c r="C142" s="2" t="s">
        <v>393</v>
      </c>
      <c r="D142" s="4" t="s">
        <v>394</v>
      </c>
      <c r="E142" s="2"/>
      <c r="F142" s="2"/>
      <c r="G142" s="2" t="s">
        <v>113</v>
      </c>
      <c r="H142" s="2"/>
      <c r="I142" s="2"/>
      <c r="J142" s="2"/>
      <c r="K142" s="2" t="s">
        <v>25</v>
      </c>
      <c r="L142" s="2"/>
      <c r="M142" s="2"/>
      <c r="N142" s="3"/>
      <c r="O142" s="2" t="s">
        <v>395</v>
      </c>
    </row>
    <row r="143" spans="1:15" ht="15" customHeight="1" x14ac:dyDescent="0.25">
      <c r="A143" s="2" t="str">
        <f t="shared" si="2"/>
        <v>Aug 3 - Aug 8</v>
      </c>
      <c r="B143" s="3">
        <v>46239</v>
      </c>
      <c r="C143" s="2" t="s">
        <v>20</v>
      </c>
      <c r="D143" s="2"/>
      <c r="E143" s="2" t="s">
        <v>21</v>
      </c>
      <c r="F143" s="2" t="s">
        <v>22</v>
      </c>
      <c r="G143" s="2"/>
      <c r="H143" s="2"/>
      <c r="I143" s="2"/>
      <c r="J143" s="2"/>
      <c r="K143" s="2" t="s">
        <v>25</v>
      </c>
      <c r="L143" s="2"/>
      <c r="M143" s="2"/>
      <c r="N143" s="3"/>
      <c r="O143" s="2" t="s">
        <v>396</v>
      </c>
    </row>
    <row r="144" spans="1:15" ht="15" customHeight="1" x14ac:dyDescent="0.25">
      <c r="A144" s="2" t="str">
        <f t="shared" si="2"/>
        <v>Aug 3 - Aug 8</v>
      </c>
      <c r="B144" s="3">
        <v>46239</v>
      </c>
      <c r="C144" s="2" t="s">
        <v>397</v>
      </c>
      <c r="D144" s="2"/>
      <c r="E144" s="2" t="s">
        <v>398</v>
      </c>
      <c r="F144" s="2" t="s">
        <v>22</v>
      </c>
      <c r="G144" s="2"/>
      <c r="H144" s="2"/>
      <c r="I144" s="2"/>
      <c r="J144" s="2"/>
      <c r="K144" s="2" t="s">
        <v>25</v>
      </c>
      <c r="L144" s="2"/>
      <c r="M144" s="2"/>
      <c r="N144" s="3"/>
      <c r="O144" s="2"/>
    </row>
    <row r="145" spans="1:15" ht="15" customHeight="1" x14ac:dyDescent="0.25">
      <c r="A145" s="2" t="str">
        <f t="shared" si="2"/>
        <v>Aug 3 - Aug 8</v>
      </c>
      <c r="B145" s="3">
        <v>46239</v>
      </c>
      <c r="C145" s="2" t="s">
        <v>399</v>
      </c>
      <c r="D145" s="2"/>
      <c r="E145" s="2"/>
      <c r="F145" s="2" t="s">
        <v>43</v>
      </c>
      <c r="G145" s="2" t="s">
        <v>23</v>
      </c>
      <c r="H145" s="2"/>
      <c r="I145" s="2"/>
      <c r="J145" s="2" t="s">
        <v>400</v>
      </c>
      <c r="K145" s="2" t="s">
        <v>25</v>
      </c>
      <c r="L145" s="2"/>
      <c r="M145" s="2"/>
      <c r="N145" s="3"/>
      <c r="O145" s="2" t="s">
        <v>401</v>
      </c>
    </row>
    <row r="146" spans="1:15" ht="15" customHeight="1" x14ac:dyDescent="0.25">
      <c r="A146" s="2" t="str">
        <f t="shared" si="2"/>
        <v>Aug 3 - Aug 8</v>
      </c>
      <c r="B146" s="3">
        <v>46239</v>
      </c>
      <c r="C146" s="2" t="s">
        <v>402</v>
      </c>
      <c r="D146" s="4" t="s">
        <v>403</v>
      </c>
      <c r="E146" s="2"/>
      <c r="F146" s="2"/>
      <c r="G146" s="2" t="s">
        <v>113</v>
      </c>
      <c r="H146" s="2"/>
      <c r="I146" s="2"/>
      <c r="J146" s="2"/>
      <c r="K146" s="2" t="s">
        <v>18</v>
      </c>
      <c r="L146" s="2"/>
      <c r="M146" s="2"/>
      <c r="N146" s="3"/>
      <c r="O146" s="2" t="s">
        <v>404</v>
      </c>
    </row>
    <row r="147" spans="1:15" ht="15" customHeight="1" x14ac:dyDescent="0.25">
      <c r="A147" s="2" t="str">
        <f t="shared" si="2"/>
        <v>Aug 3 - Aug 8</v>
      </c>
      <c r="B147" s="3">
        <v>46239</v>
      </c>
      <c r="C147" s="2" t="s">
        <v>405</v>
      </c>
      <c r="D147" s="4" t="s">
        <v>406</v>
      </c>
      <c r="E147" s="2"/>
      <c r="F147" s="2"/>
      <c r="G147" s="2" t="s">
        <v>113</v>
      </c>
      <c r="H147" s="2"/>
      <c r="I147" s="2"/>
      <c r="J147" s="2"/>
      <c r="K147" s="2" t="s">
        <v>25</v>
      </c>
      <c r="L147" s="2"/>
      <c r="M147" s="2"/>
      <c r="N147" s="3"/>
      <c r="O147" s="2" t="s">
        <v>407</v>
      </c>
    </row>
    <row r="148" spans="1:15" ht="15" customHeight="1" x14ac:dyDescent="0.25">
      <c r="A148" s="2" t="str">
        <f t="shared" si="2"/>
        <v>Aug 3 - Aug 8</v>
      </c>
      <c r="B148" s="3">
        <v>46239</v>
      </c>
      <c r="C148" s="2" t="s">
        <v>408</v>
      </c>
      <c r="D148" s="4" t="s">
        <v>409</v>
      </c>
      <c r="E148" s="2"/>
      <c r="F148" s="2"/>
      <c r="G148" s="2" t="s">
        <v>113</v>
      </c>
      <c r="H148" s="2"/>
      <c r="I148" s="2"/>
      <c r="J148" s="2"/>
      <c r="K148" s="2" t="s">
        <v>25</v>
      </c>
      <c r="L148" s="2"/>
      <c r="M148" s="2"/>
      <c r="N148" s="3"/>
      <c r="O148" s="2" t="s">
        <v>410</v>
      </c>
    </row>
    <row r="149" spans="1:15" ht="15" customHeight="1" x14ac:dyDescent="0.25">
      <c r="A149" s="2" t="str">
        <f t="shared" si="2"/>
        <v>Aug 3 - Aug 8</v>
      </c>
      <c r="B149" s="3">
        <v>46239</v>
      </c>
      <c r="C149" s="2" t="s">
        <v>411</v>
      </c>
      <c r="D149" s="2"/>
      <c r="E149" s="2" t="s">
        <v>317</v>
      </c>
      <c r="F149" s="2" t="s">
        <v>31</v>
      </c>
      <c r="G149" s="2" t="s">
        <v>113</v>
      </c>
      <c r="H149" s="2"/>
      <c r="I149" s="2"/>
      <c r="J149" s="2"/>
      <c r="K149" s="2" t="s">
        <v>25</v>
      </c>
      <c r="L149" s="2"/>
      <c r="M149" s="2"/>
      <c r="N149" s="3"/>
      <c r="O149" s="2" t="s">
        <v>412</v>
      </c>
    </row>
    <row r="150" spans="1:15" ht="15" customHeight="1" x14ac:dyDescent="0.25">
      <c r="A150" s="2" t="str">
        <f t="shared" si="2"/>
        <v>Aug 3 - Aug 8</v>
      </c>
      <c r="B150" s="3">
        <v>46239</v>
      </c>
      <c r="C150" s="2" t="s">
        <v>413</v>
      </c>
      <c r="D150" s="2"/>
      <c r="E150" s="2"/>
      <c r="F150" s="2" t="s">
        <v>43</v>
      </c>
      <c r="G150" s="2"/>
      <c r="H150" s="2"/>
      <c r="I150" s="2"/>
      <c r="J150" s="2"/>
      <c r="K150" s="2" t="s">
        <v>25</v>
      </c>
      <c r="L150" s="2"/>
      <c r="M150" s="2"/>
      <c r="N150" s="3"/>
      <c r="O150" s="2" t="s">
        <v>414</v>
      </c>
    </row>
    <row r="151" spans="1:15" ht="15" customHeight="1" x14ac:dyDescent="0.25">
      <c r="A151" s="2" t="str">
        <f t="shared" si="2"/>
        <v>Aug 3 - Aug 8</v>
      </c>
      <c r="B151" s="3">
        <v>46239</v>
      </c>
      <c r="C151" s="2" t="s">
        <v>415</v>
      </c>
      <c r="D151" s="2"/>
      <c r="E151" s="2"/>
      <c r="F151" s="2"/>
      <c r="G151" s="2" t="s">
        <v>113</v>
      </c>
      <c r="H151" s="2"/>
      <c r="I151" s="2"/>
      <c r="J151" s="2"/>
      <c r="K151" s="2" t="s">
        <v>25</v>
      </c>
      <c r="L151" s="2"/>
      <c r="M151" s="2"/>
      <c r="N151" s="3"/>
      <c r="O151" s="2" t="s">
        <v>416</v>
      </c>
    </row>
    <row r="152" spans="1:15" ht="15" customHeight="1" x14ac:dyDescent="0.25">
      <c r="A152" s="2" t="str">
        <f t="shared" si="2"/>
        <v>Aug 3 - Aug 8</v>
      </c>
      <c r="B152" s="3">
        <v>46240</v>
      </c>
      <c r="C152" s="2" t="s">
        <v>417</v>
      </c>
      <c r="D152" s="2"/>
      <c r="E152" s="2" t="s">
        <v>418</v>
      </c>
      <c r="F152" s="2" t="s">
        <v>22</v>
      </c>
      <c r="G152" s="2"/>
      <c r="H152" s="2"/>
      <c r="I152" s="2"/>
      <c r="J152" s="2"/>
      <c r="K152" s="2" t="s">
        <v>25</v>
      </c>
      <c r="L152" s="2"/>
      <c r="M152" s="2"/>
      <c r="N152" s="3"/>
      <c r="O152" s="2" t="s">
        <v>419</v>
      </c>
    </row>
    <row r="153" spans="1:15" ht="15" customHeight="1" x14ac:dyDescent="0.25">
      <c r="A153" s="2" t="str">
        <f t="shared" si="2"/>
        <v>Aug 3 - Aug 8</v>
      </c>
      <c r="B153" s="3">
        <v>46240</v>
      </c>
      <c r="C153" s="2" t="s">
        <v>283</v>
      </c>
      <c r="D153" s="2"/>
      <c r="E153" s="2"/>
      <c r="F153" s="2"/>
      <c r="G153" s="2"/>
      <c r="H153" s="2"/>
      <c r="I153" s="2"/>
      <c r="J153" s="2"/>
      <c r="K153" s="2" t="s">
        <v>25</v>
      </c>
      <c r="L153" s="2"/>
      <c r="M153" s="2"/>
      <c r="N153" s="3"/>
      <c r="O153" s="2" t="s">
        <v>420</v>
      </c>
    </row>
    <row r="154" spans="1:15" ht="15" customHeight="1" x14ac:dyDescent="0.25">
      <c r="A154" s="2" t="str">
        <f t="shared" si="2"/>
        <v>Aug 3 - Aug 8</v>
      </c>
      <c r="B154" s="3">
        <v>46240</v>
      </c>
      <c r="C154" s="2" t="s">
        <v>309</v>
      </c>
      <c r="D154" s="2"/>
      <c r="E154" s="2"/>
      <c r="F154" s="2"/>
      <c r="G154" s="2"/>
      <c r="H154" s="2"/>
      <c r="I154" s="2"/>
      <c r="J154" s="2"/>
      <c r="K154" s="2" t="s">
        <v>25</v>
      </c>
      <c r="L154" s="2"/>
      <c r="M154" s="2"/>
      <c r="N154" s="3"/>
      <c r="O154" s="2"/>
    </row>
    <row r="155" spans="1:15" ht="15" customHeight="1" x14ac:dyDescent="0.25">
      <c r="A155" s="2" t="str">
        <f t="shared" si="2"/>
        <v>Aug 3 - Aug 8</v>
      </c>
      <c r="B155" s="3">
        <v>46240</v>
      </c>
      <c r="C155" s="2" t="s">
        <v>421</v>
      </c>
      <c r="D155" s="2"/>
      <c r="E155" s="2" t="s">
        <v>422</v>
      </c>
      <c r="F155" s="2"/>
      <c r="G155" s="2"/>
      <c r="H155" s="2"/>
      <c r="I155" s="2"/>
      <c r="J155" s="2"/>
      <c r="K155" s="2" t="s">
        <v>25</v>
      </c>
      <c r="L155" s="2"/>
      <c r="M155" s="2"/>
      <c r="N155" s="3"/>
      <c r="O155" s="2"/>
    </row>
    <row r="156" spans="1:15" ht="15" customHeight="1" x14ac:dyDescent="0.25">
      <c r="A156" s="2" t="str">
        <f t="shared" si="2"/>
        <v>Aug 3 - Aug 8</v>
      </c>
      <c r="B156" s="3">
        <v>46242</v>
      </c>
      <c r="C156" s="2" t="s">
        <v>384</v>
      </c>
      <c r="D156" s="2"/>
      <c r="E156" s="2" t="s">
        <v>385</v>
      </c>
      <c r="F156" s="2"/>
      <c r="G156" s="2"/>
      <c r="H156" s="2"/>
      <c r="I156" s="2"/>
      <c r="J156" s="2"/>
      <c r="K156" s="2" t="s">
        <v>25</v>
      </c>
      <c r="L156" s="2"/>
      <c r="M156" s="2"/>
      <c r="N156" s="3"/>
      <c r="O156" s="2"/>
    </row>
    <row r="157" spans="1:15" ht="15" customHeight="1" x14ac:dyDescent="0.25">
      <c r="A157" s="2" t="str">
        <f t="shared" si="2"/>
        <v>Aug 3 - Aug 8</v>
      </c>
      <c r="B157" s="3">
        <v>46242</v>
      </c>
      <c r="C157" s="2" t="s">
        <v>374</v>
      </c>
      <c r="D157" s="2"/>
      <c r="E157" s="2" t="s">
        <v>423</v>
      </c>
      <c r="F157" s="2" t="s">
        <v>31</v>
      </c>
      <c r="G157" s="2" t="s">
        <v>113</v>
      </c>
      <c r="H157" s="2"/>
      <c r="I157" s="2"/>
      <c r="J157" s="2"/>
      <c r="K157" s="2" t="s">
        <v>25</v>
      </c>
      <c r="L157" s="2"/>
      <c r="M157" s="2"/>
      <c r="N157" s="3"/>
      <c r="O157" s="2"/>
    </row>
    <row r="158" spans="1:15" ht="15" customHeight="1" x14ac:dyDescent="0.25">
      <c r="A158" s="2" t="str">
        <f t="shared" si="2"/>
        <v>Aug 10 - Aug 15</v>
      </c>
      <c r="B158" s="3">
        <v>46244</v>
      </c>
      <c r="C158" s="2" t="s">
        <v>424</v>
      </c>
      <c r="D158" s="2"/>
      <c r="E158" s="2"/>
      <c r="F158" s="2" t="s">
        <v>43</v>
      </c>
      <c r="G158" s="2" t="s">
        <v>113</v>
      </c>
      <c r="H158" s="2"/>
      <c r="I158" s="2"/>
      <c r="J158" s="2"/>
      <c r="K158" s="2" t="s">
        <v>25</v>
      </c>
      <c r="L158" s="2"/>
      <c r="M158" s="2"/>
      <c r="N158" s="3"/>
      <c r="O158" s="2" t="s">
        <v>416</v>
      </c>
    </row>
    <row r="159" spans="1:15" ht="15" customHeight="1" x14ac:dyDescent="0.25">
      <c r="A159" s="2" t="str">
        <f t="shared" si="2"/>
        <v>Aug 10 - Aug 15</v>
      </c>
      <c r="B159" s="3">
        <v>46244</v>
      </c>
      <c r="C159" s="2" t="s">
        <v>425</v>
      </c>
      <c r="D159" s="4" t="s">
        <v>426</v>
      </c>
      <c r="E159" s="2"/>
      <c r="F159" s="2"/>
      <c r="G159" s="2" t="s">
        <v>113</v>
      </c>
      <c r="H159" s="2"/>
      <c r="I159" s="2"/>
      <c r="J159" s="2"/>
      <c r="K159" s="2" t="s">
        <v>25</v>
      </c>
      <c r="L159" s="2"/>
      <c r="M159" s="2"/>
      <c r="N159" s="3"/>
      <c r="O159" s="2" t="s">
        <v>427</v>
      </c>
    </row>
    <row r="160" spans="1:15" ht="15" customHeight="1" x14ac:dyDescent="0.25">
      <c r="A160" s="2" t="str">
        <f t="shared" si="2"/>
        <v>Aug 10 - Aug 15</v>
      </c>
      <c r="B160" s="3">
        <v>46244</v>
      </c>
      <c r="C160" s="2" t="s">
        <v>428</v>
      </c>
      <c r="D160" s="4" t="s">
        <v>429</v>
      </c>
      <c r="E160" s="2"/>
      <c r="F160" s="2"/>
      <c r="G160" s="2" t="s">
        <v>113</v>
      </c>
      <c r="H160" s="2"/>
      <c r="I160" s="2"/>
      <c r="J160" s="2"/>
      <c r="K160" s="2" t="s">
        <v>25</v>
      </c>
      <c r="L160" s="2"/>
      <c r="M160" s="2"/>
      <c r="N160" s="3"/>
      <c r="O160" s="2" t="s">
        <v>430</v>
      </c>
    </row>
    <row r="161" spans="1:15" ht="15" customHeight="1" x14ac:dyDescent="0.25">
      <c r="A161" s="2" t="str">
        <f t="shared" si="2"/>
        <v>Aug 10 - Aug 15</v>
      </c>
      <c r="B161" s="3">
        <v>46244</v>
      </c>
      <c r="C161" s="2" t="s">
        <v>431</v>
      </c>
      <c r="D161" s="4" t="s">
        <v>432</v>
      </c>
      <c r="E161" s="2"/>
      <c r="F161" s="2"/>
      <c r="G161" s="2" t="s">
        <v>113</v>
      </c>
      <c r="H161" s="2"/>
      <c r="I161" s="2"/>
      <c r="J161" s="2"/>
      <c r="K161" s="2" t="s">
        <v>18</v>
      </c>
      <c r="L161" s="2"/>
      <c r="M161" s="2"/>
      <c r="N161" s="3"/>
      <c r="O161" s="2" t="s">
        <v>433</v>
      </c>
    </row>
    <row r="162" spans="1:15" ht="15" customHeight="1" x14ac:dyDescent="0.25">
      <c r="A162" s="2" t="str">
        <f t="shared" si="2"/>
        <v>Aug 10 - Aug 15</v>
      </c>
      <c r="B162" s="3">
        <v>46244</v>
      </c>
      <c r="C162" s="2" t="s">
        <v>434</v>
      </c>
      <c r="D162" s="4" t="s">
        <v>435</v>
      </c>
      <c r="E162" s="2"/>
      <c r="F162" s="2"/>
      <c r="G162" s="2" t="s">
        <v>113</v>
      </c>
      <c r="H162" s="2"/>
      <c r="I162" s="2"/>
      <c r="J162" s="2"/>
      <c r="K162" s="2" t="s">
        <v>25</v>
      </c>
      <c r="L162" s="2"/>
      <c r="M162" s="2"/>
      <c r="N162" s="3"/>
      <c r="O162" s="2" t="s">
        <v>436</v>
      </c>
    </row>
    <row r="163" spans="1:15" ht="15" customHeight="1" x14ac:dyDescent="0.25">
      <c r="A163" s="2" t="str">
        <f t="shared" si="2"/>
        <v>Aug 10 - Aug 15</v>
      </c>
      <c r="B163" s="3">
        <v>46244</v>
      </c>
      <c r="C163" s="2" t="s">
        <v>437</v>
      </c>
      <c r="D163" s="4" t="s">
        <v>438</v>
      </c>
      <c r="E163" s="2"/>
      <c r="F163" s="2"/>
      <c r="G163" s="2" t="s">
        <v>113</v>
      </c>
      <c r="H163" s="2"/>
      <c r="I163" s="2"/>
      <c r="J163" s="2"/>
      <c r="K163" s="2" t="s">
        <v>18</v>
      </c>
      <c r="L163" s="2"/>
      <c r="M163" s="2"/>
      <c r="N163" s="3"/>
      <c r="O163" s="2" t="s">
        <v>439</v>
      </c>
    </row>
    <row r="164" spans="1:15" ht="15" customHeight="1" x14ac:dyDescent="0.25">
      <c r="A164" s="2" t="str">
        <f t="shared" si="2"/>
        <v>Aug 10 - Aug 15</v>
      </c>
      <c r="B164" s="3">
        <v>46244</v>
      </c>
      <c r="C164" s="2" t="s">
        <v>440</v>
      </c>
      <c r="D164" s="4" t="s">
        <v>441</v>
      </c>
      <c r="E164" s="2"/>
      <c r="F164" s="2"/>
      <c r="G164" s="2" t="s">
        <v>113</v>
      </c>
      <c r="H164" s="2"/>
      <c r="I164" s="2"/>
      <c r="J164" s="2"/>
      <c r="K164" s="2" t="s">
        <v>18</v>
      </c>
      <c r="L164" s="2"/>
      <c r="M164" s="2"/>
      <c r="N164" s="3"/>
      <c r="O164" s="2" t="s">
        <v>442</v>
      </c>
    </row>
    <row r="165" spans="1:15" ht="15" customHeight="1" x14ac:dyDescent="0.25">
      <c r="A165" s="2" t="str">
        <f t="shared" si="2"/>
        <v>Aug 10 - Aug 15</v>
      </c>
      <c r="B165" s="3">
        <v>46244</v>
      </c>
      <c r="C165" s="2" t="s">
        <v>443</v>
      </c>
      <c r="D165" s="4" t="s">
        <v>444</v>
      </c>
      <c r="E165" s="2"/>
      <c r="F165" s="2"/>
      <c r="G165" s="2" t="s">
        <v>113</v>
      </c>
      <c r="H165" s="2"/>
      <c r="I165" s="2"/>
      <c r="J165" s="2"/>
      <c r="K165" s="2" t="s">
        <v>25</v>
      </c>
      <c r="L165" s="2"/>
      <c r="M165" s="2"/>
      <c r="N165" s="3"/>
      <c r="O165" s="2" t="s">
        <v>445</v>
      </c>
    </row>
    <row r="166" spans="1:15" ht="15" customHeight="1" x14ac:dyDescent="0.25">
      <c r="A166" s="2" t="str">
        <f t="shared" si="2"/>
        <v>Aug 10 - Aug 15</v>
      </c>
      <c r="B166" s="3">
        <v>46245</v>
      </c>
      <c r="C166" s="2" t="s">
        <v>446</v>
      </c>
      <c r="D166" s="4" t="s">
        <v>447</v>
      </c>
      <c r="E166" s="2"/>
      <c r="F166" s="2"/>
      <c r="G166" s="2" t="s">
        <v>113</v>
      </c>
      <c r="H166" s="2"/>
      <c r="I166" s="2"/>
      <c r="J166" s="2"/>
      <c r="K166" s="2" t="s">
        <v>18</v>
      </c>
      <c r="L166" s="2"/>
      <c r="M166" s="2"/>
      <c r="N166" s="3"/>
      <c r="O166" s="2" t="s">
        <v>448</v>
      </c>
    </row>
    <row r="167" spans="1:15" ht="15" customHeight="1" x14ac:dyDescent="0.25">
      <c r="A167" s="2" t="str">
        <f t="shared" si="2"/>
        <v>Aug 10 - Aug 15</v>
      </c>
      <c r="B167" s="3">
        <v>46245</v>
      </c>
      <c r="C167" s="2" t="s">
        <v>449</v>
      </c>
      <c r="D167" s="4" t="s">
        <v>450</v>
      </c>
      <c r="E167" s="2"/>
      <c r="F167" s="2"/>
      <c r="G167" s="2" t="s">
        <v>113</v>
      </c>
      <c r="H167" s="2"/>
      <c r="I167" s="2"/>
      <c r="J167" s="2"/>
      <c r="K167" s="2" t="s">
        <v>18</v>
      </c>
      <c r="L167" s="2"/>
      <c r="M167" s="2"/>
      <c r="N167" s="3"/>
      <c r="O167" s="2" t="s">
        <v>451</v>
      </c>
    </row>
    <row r="168" spans="1:15" ht="15" customHeight="1" x14ac:dyDescent="0.25">
      <c r="A168" s="2" t="str">
        <f t="shared" si="2"/>
        <v>Aug 10 - Aug 15</v>
      </c>
      <c r="B168" s="3">
        <v>46245</v>
      </c>
      <c r="C168" s="2" t="s">
        <v>41</v>
      </c>
      <c r="D168" s="2"/>
      <c r="E168" s="2"/>
      <c r="F168" s="2"/>
      <c r="G168" s="2"/>
      <c r="H168" s="2"/>
      <c r="I168" s="2"/>
      <c r="J168" s="2"/>
      <c r="K168" s="2" t="s">
        <v>25</v>
      </c>
      <c r="L168" s="2"/>
      <c r="M168" s="2"/>
      <c r="N168" s="3"/>
      <c r="O168" s="2" t="s">
        <v>452</v>
      </c>
    </row>
    <row r="169" spans="1:15" ht="15" customHeight="1" x14ac:dyDescent="0.25">
      <c r="A169" s="2" t="str">
        <f t="shared" si="2"/>
        <v>Aug 10 - Aug 15</v>
      </c>
      <c r="B169" s="3">
        <v>46245</v>
      </c>
      <c r="C169" s="2" t="s">
        <v>453</v>
      </c>
      <c r="D169" s="2"/>
      <c r="E169" s="2"/>
      <c r="F169" s="2"/>
      <c r="G169" s="2"/>
      <c r="H169" s="2"/>
      <c r="I169" s="2"/>
      <c r="J169" s="2" t="s">
        <v>400</v>
      </c>
      <c r="K169" s="2" t="s">
        <v>25</v>
      </c>
      <c r="L169" s="2"/>
      <c r="M169" s="2"/>
      <c r="N169" s="3"/>
      <c r="O169" s="2" t="s">
        <v>454</v>
      </c>
    </row>
    <row r="170" spans="1:15" ht="15" customHeight="1" x14ac:dyDescent="0.25">
      <c r="A170" s="2" t="str">
        <f t="shared" si="2"/>
        <v>Aug 10 - Aug 15</v>
      </c>
      <c r="B170" s="3">
        <v>46246</v>
      </c>
      <c r="C170" s="2" t="s">
        <v>455</v>
      </c>
      <c r="D170" s="4" t="s">
        <v>456</v>
      </c>
      <c r="E170" s="2" t="s">
        <v>277</v>
      </c>
      <c r="F170" s="2" t="s">
        <v>22</v>
      </c>
      <c r="G170" s="2"/>
      <c r="H170" s="2"/>
      <c r="I170" s="2"/>
      <c r="J170" s="2"/>
      <c r="K170" s="2" t="s">
        <v>25</v>
      </c>
      <c r="L170" s="2"/>
      <c r="M170" s="2"/>
      <c r="N170" s="3"/>
      <c r="O170" s="2" t="s">
        <v>457</v>
      </c>
    </row>
    <row r="171" spans="1:15" ht="15" customHeight="1" x14ac:dyDescent="0.25">
      <c r="A171" s="2" t="str">
        <f t="shared" si="2"/>
        <v>Aug 10 - Aug 15</v>
      </c>
      <c r="B171" s="3">
        <v>46246</v>
      </c>
      <c r="C171" s="2" t="s">
        <v>458</v>
      </c>
      <c r="D171" s="2"/>
      <c r="E171" s="2" t="s">
        <v>459</v>
      </c>
      <c r="F171" s="2"/>
      <c r="G171" s="2"/>
      <c r="H171" s="2"/>
      <c r="I171" s="2"/>
      <c r="J171" s="2"/>
      <c r="K171" s="2" t="s">
        <v>25</v>
      </c>
      <c r="L171" s="2"/>
      <c r="M171" s="2"/>
      <c r="N171" s="3"/>
      <c r="O171" s="2" t="s">
        <v>460</v>
      </c>
    </row>
    <row r="172" spans="1:15" ht="15" customHeight="1" x14ac:dyDescent="0.25">
      <c r="A172" s="2" t="str">
        <f t="shared" si="2"/>
        <v>Aug 10 - Aug 15</v>
      </c>
      <c r="B172" s="3">
        <v>46246</v>
      </c>
      <c r="C172" s="2" t="s">
        <v>461</v>
      </c>
      <c r="D172" s="2"/>
      <c r="E172" s="2" t="s">
        <v>422</v>
      </c>
      <c r="F172" s="2"/>
      <c r="G172" s="2"/>
      <c r="H172" s="2"/>
      <c r="I172" s="2"/>
      <c r="J172" s="2"/>
      <c r="K172" s="2" t="s">
        <v>25</v>
      </c>
      <c r="L172" s="2"/>
      <c r="M172" s="2"/>
      <c r="N172" s="3"/>
      <c r="O172" s="2" t="s">
        <v>462</v>
      </c>
    </row>
    <row r="173" spans="1:15" ht="15" customHeight="1" x14ac:dyDescent="0.25">
      <c r="A173" s="2" t="str">
        <f t="shared" si="2"/>
        <v>Aug 10 - Aug 15</v>
      </c>
      <c r="B173" s="3">
        <v>46247</v>
      </c>
      <c r="C173" s="2" t="s">
        <v>463</v>
      </c>
      <c r="D173" s="4" t="s">
        <v>464</v>
      </c>
      <c r="E173" s="2" t="s">
        <v>465</v>
      </c>
      <c r="F173" s="2"/>
      <c r="G173" s="2" t="s">
        <v>113</v>
      </c>
      <c r="H173" s="2"/>
      <c r="I173" s="2"/>
      <c r="J173" s="2"/>
      <c r="K173" s="2" t="s">
        <v>25</v>
      </c>
      <c r="L173" s="2"/>
      <c r="M173" s="2"/>
      <c r="N173" s="3"/>
      <c r="O173" s="2" t="s">
        <v>466</v>
      </c>
    </row>
    <row r="174" spans="1:15" ht="15" customHeight="1" x14ac:dyDescent="0.25">
      <c r="A174" s="2" t="str">
        <f t="shared" si="2"/>
        <v>Aug 10 - Aug 15</v>
      </c>
      <c r="B174" s="3">
        <v>46247</v>
      </c>
      <c r="C174" s="2" t="s">
        <v>467</v>
      </c>
      <c r="D174" s="4" t="s">
        <v>468</v>
      </c>
      <c r="E174" s="2"/>
      <c r="F174" s="2"/>
      <c r="G174" s="2" t="s">
        <v>113</v>
      </c>
      <c r="H174" s="2"/>
      <c r="I174" s="2"/>
      <c r="J174" s="2"/>
      <c r="K174" s="2" t="s">
        <v>25</v>
      </c>
      <c r="L174" s="2"/>
      <c r="M174" s="2"/>
      <c r="N174" s="3"/>
      <c r="O174" s="2" t="s">
        <v>469</v>
      </c>
    </row>
    <row r="175" spans="1:15" ht="15" customHeight="1" x14ac:dyDescent="0.25">
      <c r="A175" s="2" t="str">
        <f t="shared" si="2"/>
        <v>Aug 10 - Aug 15</v>
      </c>
      <c r="B175" s="3">
        <v>46247</v>
      </c>
      <c r="C175" s="2" t="s">
        <v>470</v>
      </c>
      <c r="D175" s="4" t="s">
        <v>471</v>
      </c>
      <c r="E175" s="2"/>
      <c r="F175" s="2"/>
      <c r="G175" s="2" t="s">
        <v>113</v>
      </c>
      <c r="H175" s="2"/>
      <c r="I175" s="2"/>
      <c r="J175" s="2"/>
      <c r="K175" s="2" t="s">
        <v>18</v>
      </c>
      <c r="L175" s="2"/>
      <c r="M175" s="2"/>
      <c r="N175" s="3"/>
      <c r="O175" s="2" t="s">
        <v>472</v>
      </c>
    </row>
    <row r="176" spans="1:15" ht="15" customHeight="1" x14ac:dyDescent="0.25">
      <c r="A176" s="2" t="str">
        <f t="shared" si="2"/>
        <v>Aug 10 - Aug 15</v>
      </c>
      <c r="B176" s="3">
        <v>46247</v>
      </c>
      <c r="C176" s="2" t="s">
        <v>473</v>
      </c>
      <c r="D176" s="4" t="s">
        <v>474</v>
      </c>
      <c r="E176" s="2"/>
      <c r="F176" s="2"/>
      <c r="G176" s="2" t="s">
        <v>113</v>
      </c>
      <c r="H176" s="2"/>
      <c r="I176" s="2"/>
      <c r="J176" s="2"/>
      <c r="K176" s="2" t="s">
        <v>25</v>
      </c>
      <c r="L176" s="2"/>
      <c r="M176" s="2"/>
      <c r="N176" s="3"/>
      <c r="O176" s="2" t="s">
        <v>475</v>
      </c>
    </row>
    <row r="177" spans="1:15" ht="15" customHeight="1" x14ac:dyDescent="0.25">
      <c r="A177" s="2" t="str">
        <f t="shared" si="2"/>
        <v>Aug 10 - Aug 15</v>
      </c>
      <c r="B177" s="3">
        <v>46247</v>
      </c>
      <c r="C177" s="2" t="s">
        <v>387</v>
      </c>
      <c r="D177" s="2"/>
      <c r="E177" s="2" t="s">
        <v>476</v>
      </c>
      <c r="F177" s="2" t="s">
        <v>477</v>
      </c>
      <c r="G177" s="2"/>
      <c r="H177" s="2"/>
      <c r="I177" s="2"/>
      <c r="J177" s="2"/>
      <c r="K177" s="2" t="s">
        <v>25</v>
      </c>
      <c r="L177" s="2"/>
      <c r="M177" s="2"/>
      <c r="N177" s="3"/>
      <c r="O177" s="2" t="s">
        <v>478</v>
      </c>
    </row>
    <row r="178" spans="1:15" ht="15" customHeight="1" x14ac:dyDescent="0.25">
      <c r="A178" s="2" t="str">
        <f t="shared" si="2"/>
        <v>Aug 10 - Aug 15</v>
      </c>
      <c r="B178" s="3">
        <v>46247</v>
      </c>
      <c r="C178" s="2" t="s">
        <v>479</v>
      </c>
      <c r="D178" s="2"/>
      <c r="E178" s="2"/>
      <c r="F178" s="2"/>
      <c r="G178" s="2" t="s">
        <v>113</v>
      </c>
      <c r="H178" s="2"/>
      <c r="I178" s="2"/>
      <c r="J178" s="2"/>
      <c r="K178" s="2" t="s">
        <v>25</v>
      </c>
      <c r="L178" s="2"/>
      <c r="M178" s="2"/>
      <c r="N178" s="3"/>
      <c r="O178" s="2" t="s">
        <v>480</v>
      </c>
    </row>
    <row r="179" spans="1:15" ht="15" customHeight="1" x14ac:dyDescent="0.25">
      <c r="A179" s="2" t="str">
        <f t="shared" si="2"/>
        <v>Aug 10 - Aug 15</v>
      </c>
      <c r="B179" s="3">
        <v>46248</v>
      </c>
      <c r="C179" s="2" t="s">
        <v>481</v>
      </c>
      <c r="D179" s="2"/>
      <c r="E179" s="2" t="s">
        <v>482</v>
      </c>
      <c r="F179" s="2" t="s">
        <v>22</v>
      </c>
      <c r="G179" s="2" t="s">
        <v>23</v>
      </c>
      <c r="H179" s="2"/>
      <c r="I179" s="2"/>
      <c r="J179" s="2" t="s">
        <v>483</v>
      </c>
      <c r="K179" s="2" t="s">
        <v>25</v>
      </c>
      <c r="L179" s="2"/>
      <c r="M179" s="2"/>
      <c r="N179" s="3"/>
      <c r="O179" s="2"/>
    </row>
    <row r="180" spans="1:15" ht="15" customHeight="1" x14ac:dyDescent="0.25">
      <c r="A180" s="2" t="str">
        <f t="shared" si="2"/>
        <v>Aug 10 - Aug 15</v>
      </c>
      <c r="B180" s="3">
        <v>46248</v>
      </c>
      <c r="C180" s="2" t="s">
        <v>484</v>
      </c>
      <c r="D180" s="2"/>
      <c r="E180" s="2" t="s">
        <v>485</v>
      </c>
      <c r="F180" s="2"/>
      <c r="G180" s="2" t="s">
        <v>135</v>
      </c>
      <c r="H180" s="2"/>
      <c r="I180" s="2"/>
      <c r="J180" s="2"/>
      <c r="K180" s="2" t="s">
        <v>25</v>
      </c>
      <c r="L180" s="2"/>
      <c r="M180" s="2"/>
      <c r="N180" s="3"/>
      <c r="O180" s="2"/>
    </row>
    <row r="181" spans="1:15" ht="15" customHeight="1" x14ac:dyDescent="0.25">
      <c r="A181" s="2" t="str">
        <f t="shared" si="2"/>
        <v>Aug 10 - Aug 15</v>
      </c>
      <c r="B181" s="3">
        <v>46248</v>
      </c>
      <c r="C181" s="2" t="s">
        <v>486</v>
      </c>
      <c r="D181" s="2"/>
      <c r="E181" s="2" t="s">
        <v>487</v>
      </c>
      <c r="F181" s="2"/>
      <c r="G181" s="2" t="s">
        <v>135</v>
      </c>
      <c r="H181" s="2"/>
      <c r="I181" s="2"/>
      <c r="J181" s="2"/>
      <c r="K181" s="2" t="s">
        <v>25</v>
      </c>
      <c r="L181" s="2"/>
      <c r="M181" s="2"/>
      <c r="N181" s="3"/>
      <c r="O181" s="2" t="s">
        <v>488</v>
      </c>
    </row>
    <row r="182" spans="1:15" ht="15" customHeight="1" x14ac:dyDescent="0.25">
      <c r="A182" s="2" t="str">
        <f t="shared" si="2"/>
        <v>Aug 10 - Aug 15</v>
      </c>
      <c r="B182" s="3">
        <v>46248</v>
      </c>
      <c r="C182" s="2" t="s">
        <v>489</v>
      </c>
      <c r="D182" s="2"/>
      <c r="E182" s="2" t="s">
        <v>490</v>
      </c>
      <c r="F182" s="2"/>
      <c r="G182" s="2" t="s">
        <v>135</v>
      </c>
      <c r="H182" s="2"/>
      <c r="I182" s="2"/>
      <c r="J182" s="2"/>
      <c r="K182" s="2" t="s">
        <v>25</v>
      </c>
      <c r="L182" s="2"/>
      <c r="M182" s="2"/>
      <c r="N182" s="3"/>
      <c r="O182" s="2" t="s">
        <v>491</v>
      </c>
    </row>
    <row r="183" spans="1:15" ht="15" customHeight="1" x14ac:dyDescent="0.25">
      <c r="A183" s="2" t="str">
        <f t="shared" si="2"/>
        <v>Aug 10 - Aug 15</v>
      </c>
      <c r="B183" s="3">
        <v>46248</v>
      </c>
      <c r="C183" s="2" t="s">
        <v>492</v>
      </c>
      <c r="D183" s="2"/>
      <c r="E183" s="2" t="s">
        <v>493</v>
      </c>
      <c r="F183" s="2"/>
      <c r="G183" s="2" t="s">
        <v>135</v>
      </c>
      <c r="H183" s="2"/>
      <c r="I183" s="2"/>
      <c r="J183" s="2"/>
      <c r="K183" s="2" t="s">
        <v>25</v>
      </c>
      <c r="L183" s="2"/>
      <c r="M183" s="2"/>
      <c r="N183" s="3"/>
      <c r="O183" s="2"/>
    </row>
    <row r="184" spans="1:15" ht="15" customHeight="1" x14ac:dyDescent="0.25">
      <c r="A184" s="2" t="str">
        <f t="shared" si="2"/>
        <v>Aug 10 - Aug 15</v>
      </c>
      <c r="B184" s="3">
        <v>46248</v>
      </c>
      <c r="C184" s="2" t="s">
        <v>494</v>
      </c>
      <c r="D184" s="2"/>
      <c r="E184" s="2" t="s">
        <v>495</v>
      </c>
      <c r="F184" s="2"/>
      <c r="G184" s="2" t="s">
        <v>135</v>
      </c>
      <c r="H184" s="2"/>
      <c r="I184" s="2"/>
      <c r="J184" s="2"/>
      <c r="K184" s="2" t="s">
        <v>25</v>
      </c>
      <c r="L184" s="2"/>
      <c r="M184" s="2"/>
      <c r="N184" s="3"/>
      <c r="O184" s="2"/>
    </row>
    <row r="185" spans="1:15" ht="15" customHeight="1" x14ac:dyDescent="0.25">
      <c r="A185" s="2" t="str">
        <f t="shared" si="2"/>
        <v>Aug 10 - Aug 15</v>
      </c>
      <c r="B185" s="3">
        <v>46248</v>
      </c>
      <c r="C185" s="2" t="s">
        <v>496</v>
      </c>
      <c r="D185" s="2"/>
      <c r="E185" s="2" t="s">
        <v>497</v>
      </c>
      <c r="F185" s="2"/>
      <c r="G185" s="2"/>
      <c r="H185" s="2"/>
      <c r="I185" s="2"/>
      <c r="J185" s="2"/>
      <c r="K185" s="2" t="s">
        <v>25</v>
      </c>
      <c r="L185" s="2"/>
      <c r="M185" s="2"/>
      <c r="N185" s="3"/>
      <c r="O185" s="2" t="s">
        <v>498</v>
      </c>
    </row>
    <row r="186" spans="1:15" ht="15" customHeight="1" x14ac:dyDescent="0.25">
      <c r="A186" s="2" t="str">
        <f t="shared" si="2"/>
        <v>Aug 10 - Aug 15</v>
      </c>
      <c r="B186" s="3">
        <v>46248</v>
      </c>
      <c r="C186" s="2" t="s">
        <v>499</v>
      </c>
      <c r="D186" s="2"/>
      <c r="E186" s="2" t="s">
        <v>500</v>
      </c>
      <c r="F186" s="2"/>
      <c r="G186" s="2" t="s">
        <v>135</v>
      </c>
      <c r="H186" s="2"/>
      <c r="I186" s="2"/>
      <c r="J186" s="2"/>
      <c r="K186" s="2" t="s">
        <v>25</v>
      </c>
      <c r="L186" s="2"/>
      <c r="M186" s="2"/>
      <c r="N186" s="3"/>
      <c r="O186" s="2" t="s">
        <v>501</v>
      </c>
    </row>
    <row r="187" spans="1:15" ht="15" customHeight="1" x14ac:dyDescent="0.25">
      <c r="A187" s="2" t="str">
        <f t="shared" si="2"/>
        <v>Aug 10 - Aug 15</v>
      </c>
      <c r="B187" s="3">
        <v>46248</v>
      </c>
      <c r="C187" s="2" t="s">
        <v>502</v>
      </c>
      <c r="D187" s="2"/>
      <c r="E187" s="2" t="s">
        <v>503</v>
      </c>
      <c r="F187" s="2"/>
      <c r="G187" s="2" t="s">
        <v>135</v>
      </c>
      <c r="H187" s="2"/>
      <c r="I187" s="2"/>
      <c r="J187" s="2"/>
      <c r="K187" s="2" t="s">
        <v>25</v>
      </c>
      <c r="L187" s="2"/>
      <c r="M187" s="2"/>
      <c r="N187" s="3"/>
      <c r="O187" s="2"/>
    </row>
    <row r="188" spans="1:15" ht="15" customHeight="1" x14ac:dyDescent="0.25">
      <c r="A188" s="2" t="str">
        <f t="shared" si="2"/>
        <v>Aug 10 - Aug 15</v>
      </c>
      <c r="B188" s="3">
        <v>46248</v>
      </c>
      <c r="C188" s="2" t="s">
        <v>78</v>
      </c>
      <c r="D188" s="2"/>
      <c r="E188" s="2" t="s">
        <v>504</v>
      </c>
      <c r="F188" s="2"/>
      <c r="G188" s="2" t="s">
        <v>135</v>
      </c>
      <c r="H188" s="2"/>
      <c r="I188" s="2"/>
      <c r="J188" s="2"/>
      <c r="K188" s="2" t="s">
        <v>25</v>
      </c>
      <c r="L188" s="2"/>
      <c r="M188" s="2"/>
      <c r="N188" s="3"/>
      <c r="O188" s="2"/>
    </row>
    <row r="189" spans="1:15" ht="15" customHeight="1" x14ac:dyDescent="0.25">
      <c r="A189" s="2" t="str">
        <f t="shared" si="2"/>
        <v>Aug 17 - Aug 22</v>
      </c>
      <c r="B189" s="3">
        <v>46251</v>
      </c>
      <c r="C189" s="2" t="s">
        <v>505</v>
      </c>
      <c r="D189" s="2"/>
      <c r="E189" s="2" t="s">
        <v>506</v>
      </c>
      <c r="F189" s="2" t="s">
        <v>43</v>
      </c>
      <c r="G189" s="2" t="s">
        <v>23</v>
      </c>
      <c r="H189" s="2"/>
      <c r="I189" s="2"/>
      <c r="J189" s="2" t="s">
        <v>507</v>
      </c>
      <c r="K189" s="2" t="s">
        <v>25</v>
      </c>
      <c r="L189" s="2"/>
      <c r="M189" s="2"/>
      <c r="N189" s="3"/>
      <c r="O189" s="2"/>
    </row>
    <row r="190" spans="1:15" ht="15" customHeight="1" x14ac:dyDescent="0.25">
      <c r="A190" s="2" t="str">
        <f t="shared" si="2"/>
        <v>Aug 17 - Aug 22</v>
      </c>
      <c r="B190" s="3">
        <v>46251</v>
      </c>
      <c r="C190" s="2" t="s">
        <v>425</v>
      </c>
      <c r="D190" s="2"/>
      <c r="E190" s="2"/>
      <c r="F190" s="2"/>
      <c r="G190" s="2"/>
      <c r="H190" s="2"/>
      <c r="I190" s="2"/>
      <c r="J190" s="2"/>
      <c r="K190" s="2"/>
      <c r="L190" s="2"/>
      <c r="M190" s="2"/>
      <c r="N190" s="3"/>
      <c r="O190" s="2" t="s">
        <v>508</v>
      </c>
    </row>
    <row r="191" spans="1:15" ht="15" customHeight="1" x14ac:dyDescent="0.25">
      <c r="A191" s="2" t="str">
        <f t="shared" si="2"/>
        <v>Aug 17 - Aug 22</v>
      </c>
      <c r="B191" s="3">
        <v>46251</v>
      </c>
      <c r="C191" s="2" t="s">
        <v>509</v>
      </c>
      <c r="D191" s="4" t="s">
        <v>510</v>
      </c>
      <c r="E191" s="2"/>
      <c r="F191" s="2"/>
      <c r="G191" s="2" t="s">
        <v>113</v>
      </c>
      <c r="H191" s="2"/>
      <c r="I191" s="2"/>
      <c r="J191" s="2"/>
      <c r="K191" s="2"/>
      <c r="L191" s="2"/>
      <c r="M191" s="2"/>
      <c r="N191" s="3"/>
      <c r="O191" s="2" t="s">
        <v>511</v>
      </c>
    </row>
    <row r="192" spans="1:15" ht="15" customHeight="1" x14ac:dyDescent="0.25">
      <c r="A192" s="2" t="str">
        <f t="shared" si="2"/>
        <v>Aug 17 - Aug 22</v>
      </c>
      <c r="B192" s="3">
        <v>46251</v>
      </c>
      <c r="C192" s="2" t="s">
        <v>512</v>
      </c>
      <c r="D192" s="4" t="s">
        <v>513</v>
      </c>
      <c r="E192" s="2"/>
      <c r="F192" s="2"/>
      <c r="G192" s="2" t="s">
        <v>113</v>
      </c>
      <c r="H192" s="2"/>
      <c r="I192" s="2"/>
      <c r="J192" s="2"/>
      <c r="K192" s="2"/>
      <c r="L192" s="2"/>
      <c r="M192" s="2"/>
      <c r="N192" s="3"/>
      <c r="O192" s="2" t="s">
        <v>514</v>
      </c>
    </row>
    <row r="193" spans="1:15" ht="15" customHeight="1" x14ac:dyDescent="0.25">
      <c r="A193" s="2" t="str">
        <f t="shared" si="2"/>
        <v>Aug 17 - Aug 22</v>
      </c>
      <c r="B193" s="3">
        <v>46251</v>
      </c>
      <c r="C193" s="2" t="s">
        <v>515</v>
      </c>
      <c r="D193" s="4" t="s">
        <v>516</v>
      </c>
      <c r="E193" s="2"/>
      <c r="F193" s="2"/>
      <c r="G193" s="2" t="s">
        <v>113</v>
      </c>
      <c r="H193" s="2"/>
      <c r="I193" s="2"/>
      <c r="J193" s="2"/>
      <c r="K193" s="2"/>
      <c r="L193" s="2"/>
      <c r="M193" s="2"/>
      <c r="N193" s="3"/>
      <c r="O193" s="2" t="s">
        <v>517</v>
      </c>
    </row>
    <row r="194" spans="1:15" ht="15" customHeight="1" x14ac:dyDescent="0.25">
      <c r="A194" s="2" t="str">
        <f t="shared" ref="A194:A257" si="3">IF(B194="","",TEXT(B194-(WEEKDAY(B194,2)-1),"mmm d")&amp;" - "&amp;TEXT(B194-(WEEKDAY(B194,2)-1)+5,"mmm d"))</f>
        <v>Aug 17 - Aug 22</v>
      </c>
      <c r="B194" s="3">
        <v>46251</v>
      </c>
      <c r="C194" s="2" t="s">
        <v>518</v>
      </c>
      <c r="D194" s="4" t="s">
        <v>519</v>
      </c>
      <c r="E194" s="2"/>
      <c r="F194" s="2"/>
      <c r="G194" s="2" t="s">
        <v>113</v>
      </c>
      <c r="H194" s="2"/>
      <c r="I194" s="2"/>
      <c r="J194" s="2"/>
      <c r="K194" s="2"/>
      <c r="L194" s="2"/>
      <c r="M194" s="2"/>
      <c r="N194" s="3"/>
      <c r="O194" s="2" t="s">
        <v>520</v>
      </c>
    </row>
    <row r="195" spans="1:15" ht="15" customHeight="1" x14ac:dyDescent="0.25">
      <c r="A195" s="2" t="str">
        <f t="shared" si="3"/>
        <v>Aug 17 - Aug 22</v>
      </c>
      <c r="B195" s="3">
        <v>46251</v>
      </c>
      <c r="C195" s="2" t="s">
        <v>521</v>
      </c>
      <c r="D195" s="4" t="s">
        <v>522</v>
      </c>
      <c r="E195" s="2"/>
      <c r="F195" s="2"/>
      <c r="G195" s="2" t="s">
        <v>113</v>
      </c>
      <c r="H195" s="2"/>
      <c r="I195" s="2"/>
      <c r="J195" s="2"/>
      <c r="K195" s="2"/>
      <c r="L195" s="2"/>
      <c r="M195" s="2"/>
      <c r="N195" s="3"/>
      <c r="O195" s="2" t="s">
        <v>523</v>
      </c>
    </row>
    <row r="196" spans="1:15" ht="15" customHeight="1" x14ac:dyDescent="0.25">
      <c r="A196" s="2" t="str">
        <f t="shared" si="3"/>
        <v>Aug 17 - Aug 22</v>
      </c>
      <c r="B196" s="3">
        <v>46251</v>
      </c>
      <c r="C196" s="2" t="s">
        <v>524</v>
      </c>
      <c r="D196" s="4" t="s">
        <v>525</v>
      </c>
      <c r="E196" s="2"/>
      <c r="F196" s="2"/>
      <c r="G196" s="2" t="s">
        <v>113</v>
      </c>
      <c r="H196" s="2"/>
      <c r="I196" s="2"/>
      <c r="J196" s="2"/>
      <c r="K196" s="2"/>
      <c r="L196" s="2"/>
      <c r="M196" s="2"/>
      <c r="N196" s="3"/>
      <c r="O196" s="2" t="s">
        <v>526</v>
      </c>
    </row>
    <row r="197" spans="1:15" ht="15" customHeight="1" x14ac:dyDescent="0.25">
      <c r="A197" s="2" t="str">
        <f t="shared" si="3"/>
        <v>Aug 17 - Aug 22</v>
      </c>
      <c r="B197" s="3">
        <v>46251</v>
      </c>
      <c r="C197" s="2" t="s">
        <v>527</v>
      </c>
      <c r="D197" s="4" t="s">
        <v>528</v>
      </c>
      <c r="E197" s="2"/>
      <c r="F197" s="2"/>
      <c r="G197" s="2" t="s">
        <v>113</v>
      </c>
      <c r="H197" s="2"/>
      <c r="I197" s="2"/>
      <c r="J197" s="2"/>
      <c r="K197" s="2"/>
      <c r="L197" s="2"/>
      <c r="M197" s="2"/>
      <c r="N197" s="3"/>
      <c r="O197" s="2" t="s">
        <v>529</v>
      </c>
    </row>
    <row r="198" spans="1:15" ht="15" customHeight="1" x14ac:dyDescent="0.25">
      <c r="A198" s="2" t="str">
        <f t="shared" si="3"/>
        <v>Aug 17 - Aug 22</v>
      </c>
      <c r="B198" s="3">
        <v>46251</v>
      </c>
      <c r="C198" s="2" t="s">
        <v>530</v>
      </c>
      <c r="D198" s="4" t="s">
        <v>531</v>
      </c>
      <c r="E198" s="2"/>
      <c r="F198" s="2"/>
      <c r="G198" s="2" t="s">
        <v>113</v>
      </c>
      <c r="H198" s="2"/>
      <c r="I198" s="2"/>
      <c r="J198" s="2"/>
      <c r="K198" s="2"/>
      <c r="L198" s="2"/>
      <c r="M198" s="2"/>
      <c r="N198" s="3"/>
      <c r="O198" s="2" t="s">
        <v>532</v>
      </c>
    </row>
    <row r="199" spans="1:15" ht="15" customHeight="1" x14ac:dyDescent="0.25">
      <c r="A199" t="str">
        <f t="shared" si="3"/>
        <v/>
      </c>
      <c r="B199" s="6"/>
      <c r="N199" s="6"/>
    </row>
    <row r="200" spans="1:15" ht="15" customHeight="1" x14ac:dyDescent="0.25">
      <c r="A200" t="str">
        <f t="shared" si="3"/>
        <v/>
      </c>
      <c r="B200" s="6"/>
      <c r="N200" s="6"/>
    </row>
    <row r="201" spans="1:15" ht="15" customHeight="1" x14ac:dyDescent="0.25">
      <c r="A201" t="str">
        <f t="shared" si="3"/>
        <v/>
      </c>
      <c r="B201" s="6"/>
      <c r="N201" s="6"/>
    </row>
    <row r="202" spans="1:15" ht="15" customHeight="1" x14ac:dyDescent="0.25">
      <c r="A202" t="str">
        <f t="shared" si="3"/>
        <v/>
      </c>
      <c r="B202" s="6"/>
      <c r="N202" s="6"/>
    </row>
    <row r="203" spans="1:15" ht="15" customHeight="1" x14ac:dyDescent="0.25">
      <c r="A203" t="str">
        <f t="shared" si="3"/>
        <v/>
      </c>
      <c r="B203" s="6"/>
      <c r="N203" s="6"/>
    </row>
    <row r="204" spans="1:15" ht="15" customHeight="1" x14ac:dyDescent="0.25">
      <c r="A204" t="str">
        <f t="shared" si="3"/>
        <v/>
      </c>
      <c r="B204" s="6"/>
      <c r="N204" s="6"/>
    </row>
    <row r="205" spans="1:15" ht="15" customHeight="1" x14ac:dyDescent="0.25">
      <c r="A205" t="str">
        <f t="shared" si="3"/>
        <v/>
      </c>
      <c r="B205" s="6"/>
      <c r="N205" s="6"/>
    </row>
    <row r="206" spans="1:15" ht="15" customHeight="1" x14ac:dyDescent="0.25">
      <c r="A206" t="str">
        <f t="shared" si="3"/>
        <v/>
      </c>
      <c r="B206" s="6"/>
      <c r="N206" s="6"/>
    </row>
    <row r="207" spans="1:15" ht="15" customHeight="1" x14ac:dyDescent="0.25">
      <c r="A207" t="str">
        <f t="shared" si="3"/>
        <v/>
      </c>
      <c r="B207" s="6"/>
      <c r="N207" s="6"/>
    </row>
    <row r="208" spans="1:15" ht="15" customHeight="1" x14ac:dyDescent="0.25">
      <c r="A208" t="str">
        <f t="shared" si="3"/>
        <v/>
      </c>
      <c r="B208" s="6"/>
      <c r="N208" s="6"/>
    </row>
    <row r="209" spans="1:14" ht="15" customHeight="1" x14ac:dyDescent="0.25">
      <c r="A209" t="str">
        <f t="shared" si="3"/>
        <v/>
      </c>
      <c r="B209" s="6"/>
      <c r="N209" s="6"/>
    </row>
    <row r="210" spans="1:14" ht="15" customHeight="1" x14ac:dyDescent="0.25">
      <c r="A210" t="str">
        <f t="shared" si="3"/>
        <v/>
      </c>
      <c r="B210" s="6"/>
      <c r="N210" s="6"/>
    </row>
    <row r="211" spans="1:14" ht="15" customHeight="1" x14ac:dyDescent="0.25">
      <c r="A211" t="str">
        <f t="shared" si="3"/>
        <v/>
      </c>
      <c r="B211" s="6"/>
      <c r="N211" s="6"/>
    </row>
    <row r="212" spans="1:14" ht="15" customHeight="1" x14ac:dyDescent="0.25">
      <c r="A212" t="str">
        <f t="shared" si="3"/>
        <v/>
      </c>
      <c r="B212" s="6"/>
      <c r="N212" s="6"/>
    </row>
    <row r="213" spans="1:14" ht="15" customHeight="1" x14ac:dyDescent="0.25">
      <c r="A213" t="str">
        <f t="shared" si="3"/>
        <v/>
      </c>
      <c r="B213" s="6"/>
      <c r="N213" s="6"/>
    </row>
    <row r="214" spans="1:14" ht="15" customHeight="1" x14ac:dyDescent="0.25">
      <c r="A214" t="str">
        <f t="shared" si="3"/>
        <v/>
      </c>
      <c r="B214" s="6"/>
      <c r="N214" s="6"/>
    </row>
    <row r="215" spans="1:14" ht="15" customHeight="1" x14ac:dyDescent="0.25">
      <c r="A215" t="str">
        <f t="shared" si="3"/>
        <v/>
      </c>
      <c r="B215" s="6"/>
      <c r="N215" s="6"/>
    </row>
    <row r="216" spans="1:14" ht="15" customHeight="1" x14ac:dyDescent="0.25">
      <c r="A216" t="str">
        <f t="shared" si="3"/>
        <v/>
      </c>
      <c r="B216" s="6"/>
      <c r="N216" s="6"/>
    </row>
    <row r="217" spans="1:14" ht="15" customHeight="1" x14ac:dyDescent="0.25">
      <c r="A217" t="str">
        <f t="shared" si="3"/>
        <v/>
      </c>
      <c r="B217" s="6"/>
      <c r="N217" s="6"/>
    </row>
    <row r="218" spans="1:14" ht="15" customHeight="1" x14ac:dyDescent="0.25">
      <c r="A218" t="str">
        <f t="shared" si="3"/>
        <v/>
      </c>
      <c r="B218" s="6"/>
      <c r="N218" s="6"/>
    </row>
    <row r="219" spans="1:14" ht="15" customHeight="1" x14ac:dyDescent="0.25">
      <c r="A219" t="str">
        <f t="shared" si="3"/>
        <v/>
      </c>
      <c r="B219" s="6"/>
      <c r="N219" s="6"/>
    </row>
    <row r="220" spans="1:14" ht="15" customHeight="1" x14ac:dyDescent="0.25">
      <c r="A220" t="str">
        <f t="shared" si="3"/>
        <v/>
      </c>
      <c r="B220" s="6"/>
      <c r="N220" s="6"/>
    </row>
    <row r="221" spans="1:14" ht="15" customHeight="1" x14ac:dyDescent="0.25">
      <c r="A221" t="str">
        <f t="shared" si="3"/>
        <v/>
      </c>
      <c r="B221" s="6"/>
      <c r="N221" s="6"/>
    </row>
    <row r="222" spans="1:14" ht="15" customHeight="1" x14ac:dyDescent="0.25">
      <c r="A222" t="str">
        <f t="shared" si="3"/>
        <v/>
      </c>
      <c r="B222" s="6"/>
      <c r="N222" s="6"/>
    </row>
    <row r="223" spans="1:14" ht="15" customHeight="1" x14ac:dyDescent="0.25">
      <c r="A223" t="str">
        <f t="shared" si="3"/>
        <v/>
      </c>
      <c r="B223" s="6"/>
      <c r="N223" s="6"/>
    </row>
    <row r="224" spans="1:14" ht="15" customHeight="1" x14ac:dyDescent="0.25">
      <c r="A224" t="str">
        <f t="shared" si="3"/>
        <v/>
      </c>
      <c r="B224" s="6"/>
      <c r="N224" s="6"/>
    </row>
    <row r="225" spans="1:14" ht="15" customHeight="1" x14ac:dyDescent="0.25">
      <c r="A225" t="str">
        <f t="shared" si="3"/>
        <v/>
      </c>
      <c r="B225" s="6"/>
      <c r="N225" s="6"/>
    </row>
    <row r="226" spans="1:14" ht="15" customHeight="1" x14ac:dyDescent="0.25">
      <c r="A226" t="str">
        <f t="shared" si="3"/>
        <v/>
      </c>
      <c r="B226" s="6"/>
      <c r="N226" s="6"/>
    </row>
    <row r="227" spans="1:14" ht="15" customHeight="1" x14ac:dyDescent="0.25">
      <c r="A227" t="str">
        <f t="shared" si="3"/>
        <v/>
      </c>
      <c r="B227" s="6"/>
      <c r="N227" s="6"/>
    </row>
    <row r="228" spans="1:14" ht="15" customHeight="1" x14ac:dyDescent="0.25">
      <c r="A228" t="str">
        <f t="shared" si="3"/>
        <v/>
      </c>
      <c r="B228" s="6"/>
      <c r="N228" s="6"/>
    </row>
    <row r="229" spans="1:14" ht="15" customHeight="1" x14ac:dyDescent="0.25">
      <c r="A229" t="str">
        <f t="shared" si="3"/>
        <v/>
      </c>
      <c r="B229" s="6"/>
      <c r="N229" s="6"/>
    </row>
    <row r="230" spans="1:14" ht="15" customHeight="1" x14ac:dyDescent="0.25">
      <c r="A230" t="str">
        <f t="shared" si="3"/>
        <v/>
      </c>
      <c r="B230" s="6"/>
      <c r="N230" s="6"/>
    </row>
    <row r="231" spans="1:14" ht="15" customHeight="1" x14ac:dyDescent="0.25">
      <c r="A231" t="str">
        <f t="shared" si="3"/>
        <v/>
      </c>
      <c r="B231" s="6"/>
      <c r="N231" s="6"/>
    </row>
    <row r="232" spans="1:14" ht="15" customHeight="1" x14ac:dyDescent="0.25">
      <c r="A232" t="str">
        <f t="shared" si="3"/>
        <v/>
      </c>
      <c r="B232" s="6"/>
      <c r="N232" s="6"/>
    </row>
    <row r="233" spans="1:14" ht="15" customHeight="1" x14ac:dyDescent="0.25">
      <c r="A233" t="str">
        <f t="shared" si="3"/>
        <v/>
      </c>
      <c r="B233" s="6"/>
      <c r="N233" s="6"/>
    </row>
    <row r="234" spans="1:14" ht="15" customHeight="1" x14ac:dyDescent="0.25">
      <c r="A234" t="str">
        <f t="shared" si="3"/>
        <v/>
      </c>
      <c r="B234" s="6"/>
      <c r="N234" s="6"/>
    </row>
    <row r="235" spans="1:14" ht="15" customHeight="1" x14ac:dyDescent="0.25">
      <c r="A235" t="str">
        <f t="shared" si="3"/>
        <v/>
      </c>
      <c r="B235" s="6"/>
      <c r="N235" s="6"/>
    </row>
    <row r="236" spans="1:14" ht="15" customHeight="1" x14ac:dyDescent="0.25">
      <c r="A236" t="str">
        <f t="shared" si="3"/>
        <v/>
      </c>
      <c r="B236" s="6"/>
      <c r="N236" s="6"/>
    </row>
    <row r="237" spans="1:14" ht="15" customHeight="1" x14ac:dyDescent="0.25">
      <c r="A237" t="str">
        <f t="shared" si="3"/>
        <v/>
      </c>
      <c r="B237" s="6"/>
      <c r="N237" s="6"/>
    </row>
    <row r="238" spans="1:14" ht="15" customHeight="1" x14ac:dyDescent="0.25">
      <c r="A238" t="str">
        <f t="shared" si="3"/>
        <v/>
      </c>
      <c r="B238" s="6"/>
      <c r="N238" s="6"/>
    </row>
    <row r="239" spans="1:14" ht="15" customHeight="1" x14ac:dyDescent="0.25">
      <c r="A239" t="str">
        <f t="shared" si="3"/>
        <v/>
      </c>
      <c r="B239" s="6"/>
      <c r="N239" s="6"/>
    </row>
    <row r="240" spans="1:14" ht="15" customHeight="1" x14ac:dyDescent="0.25">
      <c r="A240" t="str">
        <f t="shared" si="3"/>
        <v/>
      </c>
      <c r="B240" s="6"/>
      <c r="N240" s="6"/>
    </row>
    <row r="241" spans="1:14" ht="15" customHeight="1" x14ac:dyDescent="0.25">
      <c r="A241" t="str">
        <f t="shared" si="3"/>
        <v/>
      </c>
      <c r="B241" s="6"/>
      <c r="N241" s="6"/>
    </row>
    <row r="242" spans="1:14" ht="15" customHeight="1" x14ac:dyDescent="0.25">
      <c r="A242" t="str">
        <f t="shared" si="3"/>
        <v/>
      </c>
      <c r="B242" s="6"/>
      <c r="N242" s="6"/>
    </row>
    <row r="243" spans="1:14" ht="15" customHeight="1" x14ac:dyDescent="0.25">
      <c r="A243" t="str">
        <f t="shared" si="3"/>
        <v/>
      </c>
      <c r="B243" s="6"/>
      <c r="N243" s="6"/>
    </row>
    <row r="244" spans="1:14" ht="15" customHeight="1" x14ac:dyDescent="0.25">
      <c r="A244" t="str">
        <f t="shared" si="3"/>
        <v/>
      </c>
      <c r="B244" s="6"/>
      <c r="N244" s="6"/>
    </row>
    <row r="245" spans="1:14" ht="15" customHeight="1" x14ac:dyDescent="0.25">
      <c r="A245" t="str">
        <f t="shared" si="3"/>
        <v/>
      </c>
      <c r="B245" s="6"/>
      <c r="N245" s="6"/>
    </row>
    <row r="246" spans="1:14" ht="15" customHeight="1" x14ac:dyDescent="0.25">
      <c r="A246" t="str">
        <f t="shared" si="3"/>
        <v/>
      </c>
      <c r="B246" s="6"/>
      <c r="N246" s="6"/>
    </row>
    <row r="247" spans="1:14" ht="15" customHeight="1" x14ac:dyDescent="0.25">
      <c r="A247" t="str">
        <f t="shared" si="3"/>
        <v/>
      </c>
      <c r="B247" s="6"/>
      <c r="N247" s="6"/>
    </row>
    <row r="248" spans="1:14" ht="15" customHeight="1" x14ac:dyDescent="0.25">
      <c r="A248" t="str">
        <f t="shared" si="3"/>
        <v/>
      </c>
      <c r="B248" s="6"/>
      <c r="N248" s="6"/>
    </row>
    <row r="249" spans="1:14" ht="15" customHeight="1" x14ac:dyDescent="0.25">
      <c r="A249" t="str">
        <f t="shared" si="3"/>
        <v/>
      </c>
      <c r="B249" s="6"/>
      <c r="N249" s="6"/>
    </row>
    <row r="250" spans="1:14" ht="15" customHeight="1" x14ac:dyDescent="0.25">
      <c r="A250" t="str">
        <f t="shared" si="3"/>
        <v/>
      </c>
      <c r="B250" s="6"/>
      <c r="N250" s="6"/>
    </row>
    <row r="251" spans="1:14" ht="15" customHeight="1" x14ac:dyDescent="0.25">
      <c r="A251" t="str">
        <f t="shared" si="3"/>
        <v/>
      </c>
      <c r="B251" s="6"/>
      <c r="N251" s="6"/>
    </row>
    <row r="252" spans="1:14" ht="15" customHeight="1" x14ac:dyDescent="0.25">
      <c r="A252" t="str">
        <f t="shared" si="3"/>
        <v/>
      </c>
      <c r="B252" s="6"/>
      <c r="N252" s="6"/>
    </row>
    <row r="253" spans="1:14" ht="15" customHeight="1" x14ac:dyDescent="0.25">
      <c r="A253" t="str">
        <f t="shared" si="3"/>
        <v/>
      </c>
      <c r="B253" s="6"/>
      <c r="N253" s="6"/>
    </row>
    <row r="254" spans="1:14" ht="15" customHeight="1" x14ac:dyDescent="0.25">
      <c r="A254" t="str">
        <f t="shared" si="3"/>
        <v/>
      </c>
      <c r="B254" s="6"/>
      <c r="N254" s="6"/>
    </row>
    <row r="255" spans="1:14" ht="15" customHeight="1" x14ac:dyDescent="0.25">
      <c r="A255" t="str">
        <f t="shared" si="3"/>
        <v/>
      </c>
      <c r="B255" s="6"/>
      <c r="N255" s="6"/>
    </row>
    <row r="256" spans="1:14" ht="15" customHeight="1" x14ac:dyDescent="0.25">
      <c r="A256" t="str">
        <f t="shared" si="3"/>
        <v/>
      </c>
      <c r="B256" s="6"/>
      <c r="N256" s="6"/>
    </row>
    <row r="257" spans="1:14" ht="15" customHeight="1" x14ac:dyDescent="0.25">
      <c r="A257" t="str">
        <f t="shared" si="3"/>
        <v/>
      </c>
      <c r="B257" s="6"/>
      <c r="N257" s="6"/>
    </row>
    <row r="258" spans="1:14" ht="15" customHeight="1" x14ac:dyDescent="0.25">
      <c r="A258" t="str">
        <f t="shared" ref="A258:A321" si="4">IF(B258="","",TEXT(B258-(WEEKDAY(B258,2)-1),"mmm d")&amp;" - "&amp;TEXT(B258-(WEEKDAY(B258,2)-1)+5,"mmm d"))</f>
        <v/>
      </c>
      <c r="B258" s="6"/>
      <c r="N258" s="6"/>
    </row>
    <row r="259" spans="1:14" ht="15" customHeight="1" x14ac:dyDescent="0.25">
      <c r="A259" t="str">
        <f t="shared" si="4"/>
        <v/>
      </c>
      <c r="B259" s="6"/>
      <c r="N259" s="6"/>
    </row>
    <row r="260" spans="1:14" ht="15" customHeight="1" x14ac:dyDescent="0.25">
      <c r="A260" t="str">
        <f t="shared" si="4"/>
        <v/>
      </c>
      <c r="B260" s="6"/>
      <c r="N260" s="6"/>
    </row>
    <row r="261" spans="1:14" ht="15" customHeight="1" x14ac:dyDescent="0.25">
      <c r="A261" t="str">
        <f t="shared" si="4"/>
        <v/>
      </c>
      <c r="B261" s="6"/>
      <c r="N261" s="6"/>
    </row>
    <row r="262" spans="1:14" ht="15" customHeight="1" x14ac:dyDescent="0.25">
      <c r="A262" t="str">
        <f t="shared" si="4"/>
        <v/>
      </c>
      <c r="B262" s="6"/>
      <c r="N262" s="6"/>
    </row>
    <row r="263" spans="1:14" ht="15" customHeight="1" x14ac:dyDescent="0.25">
      <c r="A263" t="str">
        <f t="shared" si="4"/>
        <v/>
      </c>
      <c r="B263" s="6"/>
      <c r="N263" s="6"/>
    </row>
    <row r="264" spans="1:14" ht="15" customHeight="1" x14ac:dyDescent="0.25">
      <c r="A264" t="str">
        <f t="shared" si="4"/>
        <v/>
      </c>
      <c r="B264" s="6"/>
      <c r="N264" s="6"/>
    </row>
    <row r="265" spans="1:14" ht="15" customHeight="1" x14ac:dyDescent="0.25">
      <c r="A265" t="str">
        <f t="shared" si="4"/>
        <v/>
      </c>
      <c r="B265" s="6"/>
      <c r="N265" s="6"/>
    </row>
    <row r="266" spans="1:14" ht="15" customHeight="1" x14ac:dyDescent="0.25">
      <c r="A266" t="str">
        <f t="shared" si="4"/>
        <v/>
      </c>
      <c r="B266" s="6"/>
      <c r="N266" s="6"/>
    </row>
    <row r="267" spans="1:14" ht="15" customHeight="1" x14ac:dyDescent="0.25">
      <c r="A267" t="str">
        <f t="shared" si="4"/>
        <v/>
      </c>
      <c r="B267" s="6"/>
      <c r="N267" s="6"/>
    </row>
    <row r="268" spans="1:14" ht="15" customHeight="1" x14ac:dyDescent="0.25">
      <c r="A268" t="str">
        <f t="shared" si="4"/>
        <v/>
      </c>
      <c r="B268" s="6"/>
      <c r="N268" s="6"/>
    </row>
    <row r="269" spans="1:14" ht="15" customHeight="1" x14ac:dyDescent="0.25">
      <c r="A269" t="str">
        <f t="shared" si="4"/>
        <v/>
      </c>
      <c r="B269" s="6"/>
      <c r="N269" s="6"/>
    </row>
    <row r="270" spans="1:14" ht="15" customHeight="1" x14ac:dyDescent="0.25">
      <c r="A270" t="str">
        <f t="shared" si="4"/>
        <v/>
      </c>
      <c r="B270" s="6"/>
      <c r="N270" s="6"/>
    </row>
    <row r="271" spans="1:14" ht="15" customHeight="1" x14ac:dyDescent="0.25">
      <c r="A271" t="str">
        <f t="shared" si="4"/>
        <v/>
      </c>
      <c r="B271" s="6"/>
      <c r="N271" s="6"/>
    </row>
    <row r="272" spans="1:14" ht="15" customHeight="1" x14ac:dyDescent="0.25">
      <c r="A272" t="str">
        <f t="shared" si="4"/>
        <v/>
      </c>
      <c r="B272" s="6"/>
      <c r="N272" s="6"/>
    </row>
    <row r="273" spans="1:14" ht="15" customHeight="1" x14ac:dyDescent="0.25">
      <c r="A273" t="str">
        <f t="shared" si="4"/>
        <v/>
      </c>
      <c r="B273" s="6"/>
      <c r="N273" s="6"/>
    </row>
    <row r="274" spans="1:14" ht="15" customHeight="1" x14ac:dyDescent="0.25">
      <c r="A274" t="str">
        <f t="shared" si="4"/>
        <v/>
      </c>
      <c r="B274" s="6"/>
      <c r="N274" s="6"/>
    </row>
    <row r="275" spans="1:14" ht="15" customHeight="1" x14ac:dyDescent="0.25">
      <c r="A275" t="str">
        <f t="shared" si="4"/>
        <v/>
      </c>
      <c r="B275" s="6"/>
      <c r="N275" s="6"/>
    </row>
    <row r="276" spans="1:14" ht="15" customHeight="1" x14ac:dyDescent="0.25">
      <c r="A276" t="str">
        <f t="shared" si="4"/>
        <v/>
      </c>
      <c r="B276" s="6"/>
      <c r="N276" s="6"/>
    </row>
    <row r="277" spans="1:14" ht="15" customHeight="1" x14ac:dyDescent="0.25">
      <c r="A277" t="str">
        <f t="shared" si="4"/>
        <v/>
      </c>
      <c r="B277" s="6"/>
      <c r="N277" s="6"/>
    </row>
    <row r="278" spans="1:14" ht="15" customHeight="1" x14ac:dyDescent="0.25">
      <c r="A278" t="str">
        <f t="shared" si="4"/>
        <v/>
      </c>
      <c r="B278" s="6"/>
      <c r="N278" s="6"/>
    </row>
    <row r="279" spans="1:14" ht="15" customHeight="1" x14ac:dyDescent="0.25">
      <c r="A279" t="str">
        <f t="shared" si="4"/>
        <v/>
      </c>
      <c r="B279" s="6"/>
      <c r="N279" s="6"/>
    </row>
    <row r="280" spans="1:14" ht="15" customHeight="1" x14ac:dyDescent="0.25">
      <c r="A280" t="str">
        <f t="shared" si="4"/>
        <v/>
      </c>
      <c r="B280" s="6"/>
      <c r="N280" s="6"/>
    </row>
    <row r="281" spans="1:14" ht="15" customHeight="1" x14ac:dyDescent="0.25">
      <c r="A281" t="str">
        <f t="shared" si="4"/>
        <v/>
      </c>
      <c r="B281" s="6"/>
      <c r="N281" s="6"/>
    </row>
    <row r="282" spans="1:14" ht="15" customHeight="1" x14ac:dyDescent="0.25">
      <c r="A282" t="str">
        <f t="shared" si="4"/>
        <v/>
      </c>
      <c r="B282" s="6"/>
      <c r="N282" s="6"/>
    </row>
    <row r="283" spans="1:14" ht="15" customHeight="1" x14ac:dyDescent="0.25">
      <c r="A283" t="str">
        <f t="shared" si="4"/>
        <v/>
      </c>
      <c r="B283" s="6"/>
      <c r="N283" s="6"/>
    </row>
    <row r="284" spans="1:14" ht="15" customHeight="1" x14ac:dyDescent="0.25">
      <c r="A284" t="str">
        <f t="shared" si="4"/>
        <v/>
      </c>
      <c r="B284" s="6"/>
      <c r="N284" s="6"/>
    </row>
    <row r="285" spans="1:14" ht="15" customHeight="1" x14ac:dyDescent="0.25">
      <c r="A285" t="str">
        <f t="shared" si="4"/>
        <v/>
      </c>
      <c r="B285" s="6"/>
      <c r="N285" s="6"/>
    </row>
    <row r="286" spans="1:14" ht="15" customHeight="1" x14ac:dyDescent="0.25">
      <c r="A286" t="str">
        <f t="shared" si="4"/>
        <v/>
      </c>
      <c r="B286" s="6"/>
      <c r="N286" s="6"/>
    </row>
    <row r="287" spans="1:14" ht="15" customHeight="1" x14ac:dyDescent="0.25">
      <c r="A287" t="str">
        <f t="shared" si="4"/>
        <v/>
      </c>
      <c r="B287" s="6"/>
      <c r="N287" s="6"/>
    </row>
    <row r="288" spans="1:14" ht="15" customHeight="1" x14ac:dyDescent="0.25">
      <c r="A288" t="str">
        <f t="shared" si="4"/>
        <v/>
      </c>
      <c r="B288" s="6"/>
      <c r="N288" s="6"/>
    </row>
    <row r="289" spans="1:14" ht="15" customHeight="1" x14ac:dyDescent="0.25">
      <c r="A289" t="str">
        <f t="shared" si="4"/>
        <v/>
      </c>
      <c r="B289" s="6"/>
      <c r="N289" s="6"/>
    </row>
    <row r="290" spans="1:14" ht="15" customHeight="1" x14ac:dyDescent="0.25">
      <c r="A290" t="str">
        <f t="shared" si="4"/>
        <v/>
      </c>
      <c r="B290" s="6"/>
      <c r="N290" s="6"/>
    </row>
    <row r="291" spans="1:14" ht="15" customHeight="1" x14ac:dyDescent="0.25">
      <c r="A291" t="str">
        <f t="shared" si="4"/>
        <v/>
      </c>
      <c r="B291" s="6"/>
      <c r="N291" s="6"/>
    </row>
    <row r="292" spans="1:14" ht="15" customHeight="1" x14ac:dyDescent="0.25">
      <c r="A292" t="str">
        <f t="shared" si="4"/>
        <v/>
      </c>
      <c r="B292" s="6"/>
      <c r="N292" s="6"/>
    </row>
    <row r="293" spans="1:14" ht="15" customHeight="1" x14ac:dyDescent="0.25">
      <c r="A293" t="str">
        <f t="shared" si="4"/>
        <v/>
      </c>
      <c r="B293" s="6"/>
      <c r="N293" s="6"/>
    </row>
    <row r="294" spans="1:14" ht="15" customHeight="1" x14ac:dyDescent="0.25">
      <c r="A294" t="str">
        <f t="shared" si="4"/>
        <v/>
      </c>
      <c r="B294" s="6"/>
      <c r="N294" s="6"/>
    </row>
    <row r="295" spans="1:14" ht="15" customHeight="1" x14ac:dyDescent="0.25">
      <c r="A295" t="str">
        <f t="shared" si="4"/>
        <v/>
      </c>
      <c r="B295" s="6"/>
      <c r="N295" s="6"/>
    </row>
    <row r="296" spans="1:14" ht="15" customHeight="1" x14ac:dyDescent="0.25">
      <c r="A296" t="str">
        <f t="shared" si="4"/>
        <v/>
      </c>
      <c r="B296" s="6"/>
      <c r="N296" s="6"/>
    </row>
    <row r="297" spans="1:14" ht="15" customHeight="1" x14ac:dyDescent="0.25">
      <c r="A297" t="str">
        <f t="shared" si="4"/>
        <v/>
      </c>
      <c r="B297" s="6"/>
      <c r="N297" s="6"/>
    </row>
    <row r="298" spans="1:14" ht="15" customHeight="1" x14ac:dyDescent="0.25">
      <c r="A298" t="str">
        <f t="shared" si="4"/>
        <v/>
      </c>
      <c r="B298" s="6"/>
      <c r="N298" s="6"/>
    </row>
    <row r="299" spans="1:14" ht="15" customHeight="1" x14ac:dyDescent="0.25">
      <c r="A299" t="str">
        <f t="shared" si="4"/>
        <v/>
      </c>
      <c r="B299" s="6"/>
      <c r="N299" s="6"/>
    </row>
    <row r="300" spans="1:14" ht="15" customHeight="1" x14ac:dyDescent="0.25">
      <c r="A300" t="str">
        <f t="shared" si="4"/>
        <v/>
      </c>
      <c r="B300" s="6"/>
      <c r="N300" s="6"/>
    </row>
    <row r="301" spans="1:14" ht="15" customHeight="1" x14ac:dyDescent="0.25">
      <c r="A301" t="str">
        <f t="shared" si="4"/>
        <v/>
      </c>
      <c r="B301" s="6"/>
      <c r="N301" s="6"/>
    </row>
    <row r="302" spans="1:14" ht="15" customHeight="1" x14ac:dyDescent="0.25">
      <c r="A302" t="str">
        <f t="shared" si="4"/>
        <v/>
      </c>
      <c r="B302" s="6"/>
      <c r="N302" s="6"/>
    </row>
    <row r="303" spans="1:14" ht="15" customHeight="1" x14ac:dyDescent="0.25">
      <c r="A303" t="str">
        <f t="shared" si="4"/>
        <v/>
      </c>
      <c r="B303" s="6"/>
      <c r="N303" s="6"/>
    </row>
    <row r="304" spans="1:14" ht="15" customHeight="1" x14ac:dyDescent="0.25">
      <c r="A304" t="str">
        <f t="shared" si="4"/>
        <v/>
      </c>
      <c r="B304" s="6"/>
      <c r="N304" s="6"/>
    </row>
    <row r="305" spans="1:14" ht="15" customHeight="1" x14ac:dyDescent="0.25">
      <c r="A305" t="str">
        <f t="shared" si="4"/>
        <v/>
      </c>
      <c r="B305" s="6"/>
      <c r="N305" s="6"/>
    </row>
    <row r="306" spans="1:14" ht="15" customHeight="1" x14ac:dyDescent="0.25">
      <c r="A306" t="str">
        <f t="shared" si="4"/>
        <v/>
      </c>
      <c r="B306" s="6"/>
      <c r="N306" s="6"/>
    </row>
    <row r="307" spans="1:14" ht="15" customHeight="1" x14ac:dyDescent="0.25">
      <c r="A307" t="str">
        <f t="shared" si="4"/>
        <v/>
      </c>
      <c r="B307" s="6"/>
      <c r="N307" s="6"/>
    </row>
    <row r="308" spans="1:14" ht="15" customHeight="1" x14ac:dyDescent="0.25">
      <c r="A308" t="str">
        <f t="shared" si="4"/>
        <v/>
      </c>
      <c r="B308" s="6"/>
      <c r="N308" s="6"/>
    </row>
    <row r="309" spans="1:14" ht="15" customHeight="1" x14ac:dyDescent="0.25">
      <c r="A309" t="str">
        <f t="shared" si="4"/>
        <v/>
      </c>
      <c r="B309" s="6"/>
      <c r="N309" s="6"/>
    </row>
    <row r="310" spans="1:14" ht="15" customHeight="1" x14ac:dyDescent="0.25">
      <c r="A310" t="str">
        <f t="shared" si="4"/>
        <v/>
      </c>
      <c r="B310" s="6"/>
      <c r="N310" s="6"/>
    </row>
    <row r="311" spans="1:14" ht="15" customHeight="1" x14ac:dyDescent="0.25">
      <c r="A311" t="str">
        <f t="shared" si="4"/>
        <v/>
      </c>
      <c r="B311" s="6"/>
      <c r="N311" s="6"/>
    </row>
    <row r="312" spans="1:14" ht="15" customHeight="1" x14ac:dyDescent="0.25">
      <c r="A312" t="str">
        <f t="shared" si="4"/>
        <v/>
      </c>
      <c r="B312" s="6"/>
      <c r="N312" s="6"/>
    </row>
    <row r="313" spans="1:14" ht="15" customHeight="1" x14ac:dyDescent="0.25">
      <c r="A313" t="str">
        <f t="shared" si="4"/>
        <v/>
      </c>
      <c r="B313" s="6"/>
      <c r="N313" s="6"/>
    </row>
    <row r="314" spans="1:14" ht="15" customHeight="1" x14ac:dyDescent="0.25">
      <c r="A314" t="str">
        <f t="shared" si="4"/>
        <v/>
      </c>
      <c r="B314" s="6"/>
      <c r="N314" s="6"/>
    </row>
    <row r="315" spans="1:14" ht="15" customHeight="1" x14ac:dyDescent="0.25">
      <c r="A315" t="str">
        <f t="shared" si="4"/>
        <v/>
      </c>
      <c r="B315" s="6"/>
      <c r="N315" s="6"/>
    </row>
    <row r="316" spans="1:14" ht="15" customHeight="1" x14ac:dyDescent="0.25">
      <c r="A316" t="str">
        <f t="shared" si="4"/>
        <v/>
      </c>
      <c r="B316" s="6"/>
      <c r="N316" s="6"/>
    </row>
    <row r="317" spans="1:14" ht="15" customHeight="1" x14ac:dyDescent="0.25">
      <c r="A317" t="str">
        <f t="shared" si="4"/>
        <v/>
      </c>
      <c r="B317" s="6"/>
      <c r="N317" s="6"/>
    </row>
    <row r="318" spans="1:14" ht="15" customHeight="1" x14ac:dyDescent="0.25">
      <c r="A318" t="str">
        <f t="shared" si="4"/>
        <v/>
      </c>
      <c r="B318" s="6"/>
      <c r="N318" s="6"/>
    </row>
    <row r="319" spans="1:14" ht="15" customHeight="1" x14ac:dyDescent="0.25">
      <c r="A319" t="str">
        <f t="shared" si="4"/>
        <v/>
      </c>
      <c r="B319" s="6"/>
      <c r="N319" s="6"/>
    </row>
    <row r="320" spans="1:14" ht="15" customHeight="1" x14ac:dyDescent="0.25">
      <c r="A320" t="str">
        <f t="shared" si="4"/>
        <v/>
      </c>
      <c r="B320" s="6"/>
      <c r="N320" s="6"/>
    </row>
    <row r="321" spans="1:14" ht="15" customHeight="1" x14ac:dyDescent="0.25">
      <c r="A321" t="str">
        <f t="shared" si="4"/>
        <v/>
      </c>
      <c r="B321" s="6"/>
      <c r="N321" s="6"/>
    </row>
    <row r="322" spans="1:14" ht="15" customHeight="1" x14ac:dyDescent="0.25">
      <c r="A322" t="str">
        <f t="shared" ref="A322:A385" si="5">IF(B322="","",TEXT(B322-(WEEKDAY(B322,2)-1),"mmm d")&amp;" - "&amp;TEXT(B322-(WEEKDAY(B322,2)-1)+5,"mmm d"))</f>
        <v/>
      </c>
      <c r="B322" s="6"/>
      <c r="N322" s="6"/>
    </row>
    <row r="323" spans="1:14" ht="15" customHeight="1" x14ac:dyDescent="0.25">
      <c r="A323" t="str">
        <f t="shared" si="5"/>
        <v/>
      </c>
      <c r="B323" s="6"/>
      <c r="N323" s="6"/>
    </row>
    <row r="324" spans="1:14" ht="15" customHeight="1" x14ac:dyDescent="0.25">
      <c r="A324" t="str">
        <f t="shared" si="5"/>
        <v/>
      </c>
      <c r="B324" s="6"/>
      <c r="N324" s="6"/>
    </row>
    <row r="325" spans="1:14" ht="15" customHeight="1" x14ac:dyDescent="0.25">
      <c r="A325" t="str">
        <f t="shared" si="5"/>
        <v/>
      </c>
      <c r="B325" s="6"/>
      <c r="N325" s="6"/>
    </row>
    <row r="326" spans="1:14" ht="15" customHeight="1" x14ac:dyDescent="0.25">
      <c r="A326" t="str">
        <f t="shared" si="5"/>
        <v/>
      </c>
      <c r="B326" s="6"/>
      <c r="N326" s="6"/>
    </row>
    <row r="327" spans="1:14" ht="15" customHeight="1" x14ac:dyDescent="0.25">
      <c r="A327" t="str">
        <f t="shared" si="5"/>
        <v/>
      </c>
      <c r="B327" s="6"/>
      <c r="N327" s="6"/>
    </row>
    <row r="328" spans="1:14" ht="15" customHeight="1" x14ac:dyDescent="0.25">
      <c r="A328" t="str">
        <f t="shared" si="5"/>
        <v/>
      </c>
      <c r="B328" s="6"/>
      <c r="N328" s="6"/>
    </row>
    <row r="329" spans="1:14" ht="15" customHeight="1" x14ac:dyDescent="0.25">
      <c r="A329" t="str">
        <f t="shared" si="5"/>
        <v/>
      </c>
      <c r="B329" s="6"/>
      <c r="N329" s="6"/>
    </row>
    <row r="330" spans="1:14" ht="15" customHeight="1" x14ac:dyDescent="0.25">
      <c r="A330" t="str">
        <f t="shared" si="5"/>
        <v/>
      </c>
      <c r="B330" s="6"/>
      <c r="N330" s="6"/>
    </row>
    <row r="331" spans="1:14" ht="15" customHeight="1" x14ac:dyDescent="0.25">
      <c r="A331" t="str">
        <f t="shared" si="5"/>
        <v/>
      </c>
      <c r="B331" s="6"/>
      <c r="N331" s="6"/>
    </row>
    <row r="332" spans="1:14" ht="15" customHeight="1" x14ac:dyDescent="0.25">
      <c r="A332" t="str">
        <f t="shared" si="5"/>
        <v/>
      </c>
      <c r="B332" s="6"/>
      <c r="N332" s="6"/>
    </row>
    <row r="333" spans="1:14" ht="15" customHeight="1" x14ac:dyDescent="0.25">
      <c r="A333" t="str">
        <f t="shared" si="5"/>
        <v/>
      </c>
      <c r="B333" s="6"/>
      <c r="N333" s="6"/>
    </row>
    <row r="334" spans="1:14" ht="15" customHeight="1" x14ac:dyDescent="0.25">
      <c r="A334" t="str">
        <f t="shared" si="5"/>
        <v/>
      </c>
      <c r="B334" s="6"/>
      <c r="N334" s="6"/>
    </row>
    <row r="335" spans="1:14" ht="15" customHeight="1" x14ac:dyDescent="0.25">
      <c r="A335" t="str">
        <f t="shared" si="5"/>
        <v/>
      </c>
      <c r="B335" s="6"/>
      <c r="N335" s="6"/>
    </row>
    <row r="336" spans="1:14" ht="15" customHeight="1" x14ac:dyDescent="0.25">
      <c r="A336" t="str">
        <f t="shared" si="5"/>
        <v/>
      </c>
      <c r="B336" s="6"/>
      <c r="N336" s="6"/>
    </row>
    <row r="337" spans="1:14" ht="15" customHeight="1" x14ac:dyDescent="0.25">
      <c r="A337" t="str">
        <f t="shared" si="5"/>
        <v/>
      </c>
      <c r="B337" s="6"/>
      <c r="N337" s="6"/>
    </row>
    <row r="338" spans="1:14" ht="15" customHeight="1" x14ac:dyDescent="0.25">
      <c r="A338" t="str">
        <f t="shared" si="5"/>
        <v/>
      </c>
      <c r="B338" s="6"/>
      <c r="N338" s="6"/>
    </row>
    <row r="339" spans="1:14" ht="15" customHeight="1" x14ac:dyDescent="0.25">
      <c r="A339" t="str">
        <f t="shared" si="5"/>
        <v/>
      </c>
      <c r="B339" s="6"/>
      <c r="N339" s="6"/>
    </row>
    <row r="340" spans="1:14" ht="15" customHeight="1" x14ac:dyDescent="0.25">
      <c r="A340" t="str">
        <f t="shared" si="5"/>
        <v/>
      </c>
      <c r="B340" s="6"/>
      <c r="N340" s="6"/>
    </row>
    <row r="341" spans="1:14" ht="15" customHeight="1" x14ac:dyDescent="0.25">
      <c r="A341" t="str">
        <f t="shared" si="5"/>
        <v/>
      </c>
      <c r="B341" s="6"/>
      <c r="N341" s="6"/>
    </row>
    <row r="342" spans="1:14" ht="15" customHeight="1" x14ac:dyDescent="0.25">
      <c r="A342" t="str">
        <f t="shared" si="5"/>
        <v/>
      </c>
      <c r="B342" s="6"/>
      <c r="N342" s="6"/>
    </row>
    <row r="343" spans="1:14" ht="15" customHeight="1" x14ac:dyDescent="0.25">
      <c r="A343" t="str">
        <f t="shared" si="5"/>
        <v/>
      </c>
      <c r="B343" s="6"/>
      <c r="N343" s="6"/>
    </row>
    <row r="344" spans="1:14" ht="15" customHeight="1" x14ac:dyDescent="0.25">
      <c r="A344" t="str">
        <f t="shared" si="5"/>
        <v/>
      </c>
      <c r="B344" s="6"/>
      <c r="N344" s="6"/>
    </row>
    <row r="345" spans="1:14" ht="15" customHeight="1" x14ac:dyDescent="0.25">
      <c r="A345" t="str">
        <f t="shared" si="5"/>
        <v/>
      </c>
      <c r="B345" s="6"/>
      <c r="N345" s="6"/>
    </row>
    <row r="346" spans="1:14" ht="15" customHeight="1" x14ac:dyDescent="0.25">
      <c r="A346" t="str">
        <f t="shared" si="5"/>
        <v/>
      </c>
      <c r="B346" s="6"/>
      <c r="N346" s="6"/>
    </row>
    <row r="347" spans="1:14" ht="15" customHeight="1" x14ac:dyDescent="0.25">
      <c r="A347" t="str">
        <f t="shared" si="5"/>
        <v/>
      </c>
      <c r="B347" s="6"/>
      <c r="N347" s="6"/>
    </row>
    <row r="348" spans="1:14" ht="15" customHeight="1" x14ac:dyDescent="0.25">
      <c r="A348" t="str">
        <f t="shared" si="5"/>
        <v/>
      </c>
      <c r="B348" s="6"/>
      <c r="N348" s="6"/>
    </row>
    <row r="349" spans="1:14" ht="15" customHeight="1" x14ac:dyDescent="0.25">
      <c r="A349" t="str">
        <f t="shared" si="5"/>
        <v/>
      </c>
      <c r="B349" s="6"/>
      <c r="N349" s="6"/>
    </row>
    <row r="350" spans="1:14" ht="15" customHeight="1" x14ac:dyDescent="0.25">
      <c r="A350" t="str">
        <f t="shared" si="5"/>
        <v/>
      </c>
      <c r="B350" s="6"/>
      <c r="N350" s="6"/>
    </row>
    <row r="351" spans="1:14" ht="15" customHeight="1" x14ac:dyDescent="0.25">
      <c r="A351" t="str">
        <f t="shared" si="5"/>
        <v/>
      </c>
      <c r="B351" s="6"/>
      <c r="N351" s="6"/>
    </row>
    <row r="352" spans="1:14" ht="15" customHeight="1" x14ac:dyDescent="0.25">
      <c r="A352" t="str">
        <f t="shared" si="5"/>
        <v/>
      </c>
      <c r="B352" s="6"/>
      <c r="N352" s="6"/>
    </row>
    <row r="353" spans="1:14" ht="15" customHeight="1" x14ac:dyDescent="0.25">
      <c r="A353" t="str">
        <f t="shared" si="5"/>
        <v/>
      </c>
      <c r="B353" s="6"/>
      <c r="N353" s="6"/>
    </row>
    <row r="354" spans="1:14" ht="15" customHeight="1" x14ac:dyDescent="0.25">
      <c r="A354" t="str">
        <f t="shared" si="5"/>
        <v/>
      </c>
      <c r="B354" s="6"/>
      <c r="N354" s="6"/>
    </row>
    <row r="355" spans="1:14" ht="15" customHeight="1" x14ac:dyDescent="0.25">
      <c r="A355" t="str">
        <f t="shared" si="5"/>
        <v/>
      </c>
      <c r="B355" s="6"/>
      <c r="N355" s="6"/>
    </row>
    <row r="356" spans="1:14" ht="15" customHeight="1" x14ac:dyDescent="0.25">
      <c r="A356" t="str">
        <f t="shared" si="5"/>
        <v/>
      </c>
      <c r="B356" s="6"/>
      <c r="N356" s="6"/>
    </row>
    <row r="357" spans="1:14" ht="15" customHeight="1" x14ac:dyDescent="0.25">
      <c r="A357" t="str">
        <f t="shared" si="5"/>
        <v/>
      </c>
      <c r="B357" s="6"/>
      <c r="N357" s="6"/>
    </row>
    <row r="358" spans="1:14" ht="15" customHeight="1" x14ac:dyDescent="0.25">
      <c r="A358" t="str">
        <f t="shared" si="5"/>
        <v/>
      </c>
      <c r="B358" s="6"/>
      <c r="N358" s="6"/>
    </row>
    <row r="359" spans="1:14" ht="15" customHeight="1" x14ac:dyDescent="0.25">
      <c r="A359" t="str">
        <f t="shared" si="5"/>
        <v/>
      </c>
      <c r="B359" s="6"/>
      <c r="N359" s="6"/>
    </row>
    <row r="360" spans="1:14" ht="15" customHeight="1" x14ac:dyDescent="0.25">
      <c r="A360" t="str">
        <f t="shared" si="5"/>
        <v/>
      </c>
      <c r="B360" s="6"/>
      <c r="N360" s="6"/>
    </row>
    <row r="361" spans="1:14" ht="15" customHeight="1" x14ac:dyDescent="0.25">
      <c r="A361" t="str">
        <f t="shared" si="5"/>
        <v/>
      </c>
      <c r="B361" s="6"/>
      <c r="N361" s="6"/>
    </row>
    <row r="362" spans="1:14" ht="15" customHeight="1" x14ac:dyDescent="0.25">
      <c r="A362" t="str">
        <f t="shared" si="5"/>
        <v/>
      </c>
      <c r="B362" s="6"/>
      <c r="N362" s="6"/>
    </row>
    <row r="363" spans="1:14" ht="15" customHeight="1" x14ac:dyDescent="0.25">
      <c r="A363" t="str">
        <f t="shared" si="5"/>
        <v/>
      </c>
      <c r="B363" s="6"/>
      <c r="N363" s="6"/>
    </row>
    <row r="364" spans="1:14" ht="15" customHeight="1" x14ac:dyDescent="0.25">
      <c r="A364" t="str">
        <f t="shared" si="5"/>
        <v/>
      </c>
      <c r="B364" s="6"/>
      <c r="N364" s="6"/>
    </row>
    <row r="365" spans="1:14" ht="15" customHeight="1" x14ac:dyDescent="0.25">
      <c r="A365" t="str">
        <f t="shared" si="5"/>
        <v/>
      </c>
      <c r="B365" s="6"/>
      <c r="N365" s="6"/>
    </row>
    <row r="366" spans="1:14" ht="15" customHeight="1" x14ac:dyDescent="0.25">
      <c r="A366" t="str">
        <f t="shared" si="5"/>
        <v/>
      </c>
      <c r="B366" s="6"/>
      <c r="N366" s="6"/>
    </row>
    <row r="367" spans="1:14" ht="15" customHeight="1" x14ac:dyDescent="0.25">
      <c r="A367" t="str">
        <f t="shared" si="5"/>
        <v/>
      </c>
      <c r="B367" s="6"/>
      <c r="N367" s="6"/>
    </row>
    <row r="368" spans="1:14" ht="15" customHeight="1" x14ac:dyDescent="0.25">
      <c r="A368" t="str">
        <f t="shared" si="5"/>
        <v/>
      </c>
      <c r="B368" s="6"/>
      <c r="N368" s="6"/>
    </row>
    <row r="369" spans="1:14" ht="15" customHeight="1" x14ac:dyDescent="0.25">
      <c r="A369" t="str">
        <f t="shared" si="5"/>
        <v/>
      </c>
      <c r="B369" s="6"/>
      <c r="N369" s="6"/>
    </row>
    <row r="370" spans="1:14" ht="15" customHeight="1" x14ac:dyDescent="0.25">
      <c r="A370" t="str">
        <f t="shared" si="5"/>
        <v/>
      </c>
      <c r="B370" s="6"/>
      <c r="N370" s="6"/>
    </row>
    <row r="371" spans="1:14" ht="15" customHeight="1" x14ac:dyDescent="0.25">
      <c r="A371" t="str">
        <f t="shared" si="5"/>
        <v/>
      </c>
      <c r="B371" s="6"/>
      <c r="N371" s="6"/>
    </row>
    <row r="372" spans="1:14" ht="15" customHeight="1" x14ac:dyDescent="0.25">
      <c r="A372" t="str">
        <f t="shared" si="5"/>
        <v/>
      </c>
      <c r="B372" s="6"/>
      <c r="N372" s="6"/>
    </row>
    <row r="373" spans="1:14" ht="15" customHeight="1" x14ac:dyDescent="0.25">
      <c r="A373" t="str">
        <f t="shared" si="5"/>
        <v/>
      </c>
      <c r="B373" s="6"/>
      <c r="N373" s="6"/>
    </row>
    <row r="374" spans="1:14" ht="15" customHeight="1" x14ac:dyDescent="0.25">
      <c r="A374" t="str">
        <f t="shared" si="5"/>
        <v/>
      </c>
      <c r="B374" s="6"/>
      <c r="N374" s="6"/>
    </row>
    <row r="375" spans="1:14" ht="15" customHeight="1" x14ac:dyDescent="0.25">
      <c r="A375" t="str">
        <f t="shared" si="5"/>
        <v/>
      </c>
      <c r="B375" s="6"/>
      <c r="N375" s="6"/>
    </row>
    <row r="376" spans="1:14" ht="15" customHeight="1" x14ac:dyDescent="0.25">
      <c r="A376" t="str">
        <f t="shared" si="5"/>
        <v/>
      </c>
      <c r="B376" s="6"/>
      <c r="N376" s="6"/>
    </row>
    <row r="377" spans="1:14" ht="15" customHeight="1" x14ac:dyDescent="0.25">
      <c r="A377" t="str">
        <f t="shared" si="5"/>
        <v/>
      </c>
      <c r="B377" s="6"/>
      <c r="N377" s="6"/>
    </row>
    <row r="378" spans="1:14" ht="15" customHeight="1" x14ac:dyDescent="0.25">
      <c r="A378" t="str">
        <f t="shared" si="5"/>
        <v/>
      </c>
      <c r="B378" s="6"/>
      <c r="N378" s="6"/>
    </row>
    <row r="379" spans="1:14" ht="15" customHeight="1" x14ac:dyDescent="0.25">
      <c r="A379" t="str">
        <f t="shared" si="5"/>
        <v/>
      </c>
      <c r="B379" s="6"/>
      <c r="N379" s="6"/>
    </row>
    <row r="380" spans="1:14" ht="15" customHeight="1" x14ac:dyDescent="0.25">
      <c r="A380" t="str">
        <f t="shared" si="5"/>
        <v/>
      </c>
      <c r="B380" s="6"/>
      <c r="N380" s="6"/>
    </row>
    <row r="381" spans="1:14" ht="15" customHeight="1" x14ac:dyDescent="0.25">
      <c r="A381" t="str">
        <f t="shared" si="5"/>
        <v/>
      </c>
      <c r="B381" s="6"/>
      <c r="N381" s="6"/>
    </row>
    <row r="382" spans="1:14" ht="15" customHeight="1" x14ac:dyDescent="0.25">
      <c r="A382" t="str">
        <f t="shared" si="5"/>
        <v/>
      </c>
      <c r="B382" s="6"/>
      <c r="N382" s="6"/>
    </row>
    <row r="383" spans="1:14" ht="15" customHeight="1" x14ac:dyDescent="0.25">
      <c r="A383" t="str">
        <f t="shared" si="5"/>
        <v/>
      </c>
      <c r="B383" s="6"/>
      <c r="N383" s="6"/>
    </row>
    <row r="384" spans="1:14" ht="15" customHeight="1" x14ac:dyDescent="0.25">
      <c r="A384" t="str">
        <f t="shared" si="5"/>
        <v/>
      </c>
      <c r="B384" s="6"/>
      <c r="N384" s="6"/>
    </row>
    <row r="385" spans="1:14" ht="15" customHeight="1" x14ac:dyDescent="0.25">
      <c r="A385" t="str">
        <f t="shared" si="5"/>
        <v/>
      </c>
      <c r="B385" s="6"/>
      <c r="N385" s="6"/>
    </row>
    <row r="386" spans="1:14" ht="15" customHeight="1" x14ac:dyDescent="0.25">
      <c r="A386" t="str">
        <f t="shared" ref="A386:A449" si="6">IF(B386="","",TEXT(B386-(WEEKDAY(B386,2)-1),"mmm d")&amp;" - "&amp;TEXT(B386-(WEEKDAY(B386,2)-1)+5,"mmm d"))</f>
        <v/>
      </c>
      <c r="B386" s="6"/>
      <c r="N386" s="6"/>
    </row>
    <row r="387" spans="1:14" ht="15" customHeight="1" x14ac:dyDescent="0.25">
      <c r="A387" t="str">
        <f t="shared" si="6"/>
        <v/>
      </c>
      <c r="B387" s="6"/>
      <c r="N387" s="6"/>
    </row>
    <row r="388" spans="1:14" ht="15" customHeight="1" x14ac:dyDescent="0.25">
      <c r="A388" t="str">
        <f t="shared" si="6"/>
        <v/>
      </c>
      <c r="B388" s="6"/>
      <c r="N388" s="6"/>
    </row>
    <row r="389" spans="1:14" ht="15" customHeight="1" x14ac:dyDescent="0.25">
      <c r="A389" t="str">
        <f t="shared" si="6"/>
        <v/>
      </c>
      <c r="B389" s="6"/>
      <c r="N389" s="6"/>
    </row>
    <row r="390" spans="1:14" ht="15" customHeight="1" x14ac:dyDescent="0.25">
      <c r="A390" t="str">
        <f t="shared" si="6"/>
        <v/>
      </c>
      <c r="B390" s="6"/>
      <c r="N390" s="6"/>
    </row>
    <row r="391" spans="1:14" ht="15" customHeight="1" x14ac:dyDescent="0.25">
      <c r="A391" t="str">
        <f t="shared" si="6"/>
        <v/>
      </c>
      <c r="B391" s="6"/>
      <c r="N391" s="6"/>
    </row>
    <row r="392" spans="1:14" ht="15" customHeight="1" x14ac:dyDescent="0.25">
      <c r="A392" t="str">
        <f t="shared" si="6"/>
        <v/>
      </c>
      <c r="B392" s="6"/>
      <c r="N392" s="6"/>
    </row>
    <row r="393" spans="1:14" ht="15" customHeight="1" x14ac:dyDescent="0.25">
      <c r="A393" t="str">
        <f t="shared" si="6"/>
        <v/>
      </c>
      <c r="B393" s="6"/>
      <c r="N393" s="6"/>
    </row>
    <row r="394" spans="1:14" ht="15" customHeight="1" x14ac:dyDescent="0.25">
      <c r="A394" t="str">
        <f t="shared" si="6"/>
        <v/>
      </c>
      <c r="B394" s="6"/>
      <c r="N394" s="6"/>
    </row>
    <row r="395" spans="1:14" ht="15" customHeight="1" x14ac:dyDescent="0.25">
      <c r="A395" t="str">
        <f t="shared" si="6"/>
        <v/>
      </c>
      <c r="B395" s="6"/>
      <c r="N395" s="6"/>
    </row>
    <row r="396" spans="1:14" ht="15" customHeight="1" x14ac:dyDescent="0.25">
      <c r="A396" t="str">
        <f t="shared" si="6"/>
        <v/>
      </c>
      <c r="B396" s="6"/>
      <c r="N396" s="6"/>
    </row>
    <row r="397" spans="1:14" ht="15" customHeight="1" x14ac:dyDescent="0.25">
      <c r="A397" t="str">
        <f t="shared" si="6"/>
        <v/>
      </c>
      <c r="B397" s="6"/>
      <c r="N397" s="6"/>
    </row>
    <row r="398" spans="1:14" ht="15" customHeight="1" x14ac:dyDescent="0.25">
      <c r="A398" t="str">
        <f t="shared" si="6"/>
        <v/>
      </c>
      <c r="B398" s="6"/>
      <c r="N398" s="6"/>
    </row>
    <row r="399" spans="1:14" ht="15" customHeight="1" x14ac:dyDescent="0.25">
      <c r="A399" t="str">
        <f t="shared" si="6"/>
        <v/>
      </c>
      <c r="B399" s="6"/>
      <c r="N399" s="6"/>
    </row>
    <row r="400" spans="1:14" ht="15" customHeight="1" x14ac:dyDescent="0.25">
      <c r="A400" t="str">
        <f t="shared" si="6"/>
        <v/>
      </c>
      <c r="B400" s="6"/>
      <c r="N400" s="6"/>
    </row>
    <row r="401" spans="1:14" ht="15" customHeight="1" x14ac:dyDescent="0.25">
      <c r="A401" t="str">
        <f t="shared" si="6"/>
        <v/>
      </c>
      <c r="B401" s="6"/>
      <c r="N401" s="6"/>
    </row>
    <row r="402" spans="1:14" ht="15" customHeight="1" x14ac:dyDescent="0.25">
      <c r="A402" t="str">
        <f t="shared" si="6"/>
        <v/>
      </c>
      <c r="B402" s="6"/>
      <c r="N402" s="6"/>
    </row>
    <row r="403" spans="1:14" ht="15" customHeight="1" x14ac:dyDescent="0.25">
      <c r="A403" t="str">
        <f t="shared" si="6"/>
        <v/>
      </c>
      <c r="B403" s="6"/>
      <c r="N403" s="6"/>
    </row>
    <row r="404" spans="1:14" ht="15" customHeight="1" x14ac:dyDescent="0.25">
      <c r="A404" t="str">
        <f t="shared" si="6"/>
        <v/>
      </c>
      <c r="B404" s="6"/>
      <c r="N404" s="6"/>
    </row>
    <row r="405" spans="1:14" ht="15" customHeight="1" x14ac:dyDescent="0.25">
      <c r="A405" t="str">
        <f t="shared" si="6"/>
        <v/>
      </c>
      <c r="B405" s="6"/>
      <c r="N405" s="6"/>
    </row>
    <row r="406" spans="1:14" ht="15" customHeight="1" x14ac:dyDescent="0.25">
      <c r="A406" t="str">
        <f t="shared" si="6"/>
        <v/>
      </c>
      <c r="B406" s="6"/>
      <c r="N406" s="6"/>
    </row>
    <row r="407" spans="1:14" ht="15" customHeight="1" x14ac:dyDescent="0.25">
      <c r="A407" t="str">
        <f t="shared" si="6"/>
        <v/>
      </c>
      <c r="B407" s="6"/>
      <c r="N407" s="6"/>
    </row>
    <row r="408" spans="1:14" ht="15" customHeight="1" x14ac:dyDescent="0.25">
      <c r="A408" t="str">
        <f t="shared" si="6"/>
        <v/>
      </c>
      <c r="B408" s="6"/>
      <c r="N408" s="6"/>
    </row>
    <row r="409" spans="1:14" ht="15" customHeight="1" x14ac:dyDescent="0.25">
      <c r="A409" t="str">
        <f t="shared" si="6"/>
        <v/>
      </c>
      <c r="B409" s="6"/>
      <c r="N409" s="6"/>
    </row>
    <row r="410" spans="1:14" ht="15" customHeight="1" x14ac:dyDescent="0.25">
      <c r="A410" t="str">
        <f t="shared" si="6"/>
        <v/>
      </c>
      <c r="B410" s="6"/>
      <c r="N410" s="6"/>
    </row>
    <row r="411" spans="1:14" ht="15" customHeight="1" x14ac:dyDescent="0.25">
      <c r="A411" t="str">
        <f t="shared" si="6"/>
        <v/>
      </c>
      <c r="B411" s="6"/>
      <c r="N411" s="6"/>
    </row>
    <row r="412" spans="1:14" ht="15" customHeight="1" x14ac:dyDescent="0.25">
      <c r="A412" t="str">
        <f t="shared" si="6"/>
        <v/>
      </c>
      <c r="B412" s="6"/>
      <c r="N412" s="6"/>
    </row>
    <row r="413" spans="1:14" ht="15" customHeight="1" x14ac:dyDescent="0.25">
      <c r="A413" t="str">
        <f t="shared" si="6"/>
        <v/>
      </c>
      <c r="B413" s="6"/>
      <c r="N413" s="6"/>
    </row>
    <row r="414" spans="1:14" ht="15" customHeight="1" x14ac:dyDescent="0.25">
      <c r="A414" t="str">
        <f t="shared" si="6"/>
        <v/>
      </c>
      <c r="B414" s="6"/>
      <c r="N414" s="6"/>
    </row>
    <row r="415" spans="1:14" ht="15" customHeight="1" x14ac:dyDescent="0.25">
      <c r="A415" t="str">
        <f t="shared" si="6"/>
        <v/>
      </c>
      <c r="B415" s="6"/>
      <c r="N415" s="6"/>
    </row>
    <row r="416" spans="1:14" ht="15" customHeight="1" x14ac:dyDescent="0.25">
      <c r="A416" t="str">
        <f t="shared" si="6"/>
        <v/>
      </c>
      <c r="B416" s="6"/>
      <c r="N416" s="6"/>
    </row>
    <row r="417" spans="1:14" ht="15" customHeight="1" x14ac:dyDescent="0.25">
      <c r="A417" t="str">
        <f t="shared" si="6"/>
        <v/>
      </c>
      <c r="B417" s="6"/>
      <c r="N417" s="6"/>
    </row>
    <row r="418" spans="1:14" ht="15" customHeight="1" x14ac:dyDescent="0.25">
      <c r="A418" t="str">
        <f t="shared" si="6"/>
        <v/>
      </c>
      <c r="B418" s="6"/>
      <c r="N418" s="6"/>
    </row>
    <row r="419" spans="1:14" ht="15" customHeight="1" x14ac:dyDescent="0.25">
      <c r="A419" t="str">
        <f t="shared" si="6"/>
        <v/>
      </c>
      <c r="B419" s="6"/>
      <c r="N419" s="6"/>
    </row>
    <row r="420" spans="1:14" ht="15" customHeight="1" x14ac:dyDescent="0.25">
      <c r="A420" t="str">
        <f t="shared" si="6"/>
        <v/>
      </c>
      <c r="B420" s="6"/>
      <c r="N420" s="6"/>
    </row>
    <row r="421" spans="1:14" ht="15" customHeight="1" x14ac:dyDescent="0.25">
      <c r="A421" t="str">
        <f t="shared" si="6"/>
        <v/>
      </c>
      <c r="B421" s="6"/>
      <c r="N421" s="6"/>
    </row>
    <row r="422" spans="1:14" ht="15" customHeight="1" x14ac:dyDescent="0.25">
      <c r="A422" t="str">
        <f t="shared" si="6"/>
        <v/>
      </c>
      <c r="B422" s="6"/>
      <c r="N422" s="6"/>
    </row>
    <row r="423" spans="1:14" ht="15" customHeight="1" x14ac:dyDescent="0.25">
      <c r="A423" t="str">
        <f t="shared" si="6"/>
        <v/>
      </c>
      <c r="B423" s="6"/>
      <c r="N423" s="6"/>
    </row>
    <row r="424" spans="1:14" ht="15" customHeight="1" x14ac:dyDescent="0.25">
      <c r="A424" t="str">
        <f t="shared" si="6"/>
        <v/>
      </c>
      <c r="B424" s="6"/>
      <c r="N424" s="6"/>
    </row>
    <row r="425" spans="1:14" ht="15" customHeight="1" x14ac:dyDescent="0.25">
      <c r="A425" t="str">
        <f t="shared" si="6"/>
        <v/>
      </c>
      <c r="B425" s="6"/>
      <c r="N425" s="6"/>
    </row>
    <row r="426" spans="1:14" ht="15" customHeight="1" x14ac:dyDescent="0.25">
      <c r="A426" t="str">
        <f t="shared" si="6"/>
        <v/>
      </c>
      <c r="B426" s="6"/>
      <c r="N426" s="6"/>
    </row>
    <row r="427" spans="1:14" ht="15" customHeight="1" x14ac:dyDescent="0.25">
      <c r="A427" t="str">
        <f t="shared" si="6"/>
        <v/>
      </c>
      <c r="B427" s="6"/>
      <c r="N427" s="6"/>
    </row>
    <row r="428" spans="1:14" ht="15" customHeight="1" x14ac:dyDescent="0.25">
      <c r="A428" t="str">
        <f t="shared" si="6"/>
        <v/>
      </c>
      <c r="B428" s="6"/>
      <c r="N428" s="6"/>
    </row>
    <row r="429" spans="1:14" ht="15" customHeight="1" x14ac:dyDescent="0.25">
      <c r="A429" t="str">
        <f t="shared" si="6"/>
        <v/>
      </c>
      <c r="B429" s="6"/>
      <c r="N429" s="6"/>
    </row>
    <row r="430" spans="1:14" ht="15" customHeight="1" x14ac:dyDescent="0.25">
      <c r="A430" t="str">
        <f t="shared" si="6"/>
        <v/>
      </c>
      <c r="B430" s="6"/>
      <c r="N430" s="6"/>
    </row>
    <row r="431" spans="1:14" ht="15" customHeight="1" x14ac:dyDescent="0.25">
      <c r="A431" t="str">
        <f t="shared" si="6"/>
        <v/>
      </c>
      <c r="B431" s="6"/>
      <c r="N431" s="6"/>
    </row>
    <row r="432" spans="1:14" ht="15" customHeight="1" x14ac:dyDescent="0.25">
      <c r="A432" t="str">
        <f t="shared" si="6"/>
        <v/>
      </c>
      <c r="B432" s="6"/>
      <c r="N432" s="6"/>
    </row>
    <row r="433" spans="1:14" ht="15" customHeight="1" x14ac:dyDescent="0.25">
      <c r="A433" t="str">
        <f t="shared" si="6"/>
        <v/>
      </c>
      <c r="B433" s="6"/>
      <c r="N433" s="6"/>
    </row>
    <row r="434" spans="1:14" ht="15" customHeight="1" x14ac:dyDescent="0.25">
      <c r="A434" t="str">
        <f t="shared" si="6"/>
        <v/>
      </c>
      <c r="B434" s="6"/>
      <c r="N434" s="6"/>
    </row>
    <row r="435" spans="1:14" ht="15" customHeight="1" x14ac:dyDescent="0.25">
      <c r="A435" t="str">
        <f t="shared" si="6"/>
        <v/>
      </c>
      <c r="B435" s="6"/>
      <c r="N435" s="6"/>
    </row>
    <row r="436" spans="1:14" ht="15" customHeight="1" x14ac:dyDescent="0.25">
      <c r="A436" t="str">
        <f t="shared" si="6"/>
        <v/>
      </c>
      <c r="B436" s="6"/>
      <c r="N436" s="6"/>
    </row>
    <row r="437" spans="1:14" ht="15" customHeight="1" x14ac:dyDescent="0.25">
      <c r="A437" t="str">
        <f t="shared" si="6"/>
        <v/>
      </c>
      <c r="B437" s="6"/>
      <c r="N437" s="6"/>
    </row>
    <row r="438" spans="1:14" ht="15" customHeight="1" x14ac:dyDescent="0.25">
      <c r="A438" t="str">
        <f t="shared" si="6"/>
        <v/>
      </c>
      <c r="B438" s="6"/>
      <c r="N438" s="6"/>
    </row>
    <row r="439" spans="1:14" ht="15" customHeight="1" x14ac:dyDescent="0.25">
      <c r="A439" t="str">
        <f t="shared" si="6"/>
        <v/>
      </c>
      <c r="B439" s="6"/>
      <c r="N439" s="6"/>
    </row>
    <row r="440" spans="1:14" ht="15" customHeight="1" x14ac:dyDescent="0.25">
      <c r="A440" t="str">
        <f t="shared" si="6"/>
        <v/>
      </c>
      <c r="B440" s="6"/>
      <c r="N440" s="6"/>
    </row>
    <row r="441" spans="1:14" ht="15" customHeight="1" x14ac:dyDescent="0.25">
      <c r="A441" t="str">
        <f t="shared" si="6"/>
        <v/>
      </c>
      <c r="B441" s="6"/>
      <c r="N441" s="6"/>
    </row>
    <row r="442" spans="1:14" ht="15" customHeight="1" x14ac:dyDescent="0.25">
      <c r="A442" t="str">
        <f t="shared" si="6"/>
        <v/>
      </c>
      <c r="B442" s="6"/>
      <c r="N442" s="6"/>
    </row>
    <row r="443" spans="1:14" ht="15" customHeight="1" x14ac:dyDescent="0.25">
      <c r="A443" t="str">
        <f t="shared" si="6"/>
        <v/>
      </c>
      <c r="B443" s="6"/>
      <c r="N443" s="6"/>
    </row>
    <row r="444" spans="1:14" ht="15" customHeight="1" x14ac:dyDescent="0.25">
      <c r="A444" t="str">
        <f t="shared" si="6"/>
        <v/>
      </c>
      <c r="B444" s="6"/>
      <c r="N444" s="6"/>
    </row>
    <row r="445" spans="1:14" ht="15" customHeight="1" x14ac:dyDescent="0.25">
      <c r="A445" t="str">
        <f t="shared" si="6"/>
        <v/>
      </c>
      <c r="B445" s="6"/>
      <c r="N445" s="6"/>
    </row>
    <row r="446" spans="1:14" ht="15" customHeight="1" x14ac:dyDescent="0.25">
      <c r="A446" t="str">
        <f t="shared" si="6"/>
        <v/>
      </c>
      <c r="B446" s="6"/>
      <c r="N446" s="6"/>
    </row>
    <row r="447" spans="1:14" ht="15" customHeight="1" x14ac:dyDescent="0.25">
      <c r="A447" t="str">
        <f t="shared" si="6"/>
        <v/>
      </c>
      <c r="B447" s="6"/>
      <c r="N447" s="6"/>
    </row>
    <row r="448" spans="1:14" ht="15" customHeight="1" x14ac:dyDescent="0.25">
      <c r="A448" t="str">
        <f t="shared" si="6"/>
        <v/>
      </c>
      <c r="B448" s="6"/>
      <c r="N448" s="6"/>
    </row>
    <row r="449" spans="1:14" ht="15" customHeight="1" x14ac:dyDescent="0.25">
      <c r="A449" t="str">
        <f t="shared" si="6"/>
        <v/>
      </c>
      <c r="B449" s="6"/>
      <c r="N449" s="6"/>
    </row>
    <row r="450" spans="1:14" ht="15" customHeight="1" x14ac:dyDescent="0.25">
      <c r="A450" t="str">
        <f t="shared" ref="A450:A513" si="7">IF(B450="","",TEXT(B450-(WEEKDAY(B450,2)-1),"mmm d")&amp;" - "&amp;TEXT(B450-(WEEKDAY(B450,2)-1)+5,"mmm d"))</f>
        <v/>
      </c>
      <c r="B450" s="6"/>
      <c r="N450" s="6"/>
    </row>
    <row r="451" spans="1:14" ht="15" customHeight="1" x14ac:dyDescent="0.25">
      <c r="A451" t="str">
        <f t="shared" si="7"/>
        <v/>
      </c>
      <c r="B451" s="6"/>
      <c r="N451" s="6"/>
    </row>
    <row r="452" spans="1:14" ht="15" customHeight="1" x14ac:dyDescent="0.25">
      <c r="A452" t="str">
        <f t="shared" si="7"/>
        <v/>
      </c>
      <c r="B452" s="6"/>
      <c r="N452" s="6"/>
    </row>
    <row r="453" spans="1:14" ht="15" customHeight="1" x14ac:dyDescent="0.25">
      <c r="A453" t="str">
        <f t="shared" si="7"/>
        <v/>
      </c>
      <c r="B453" s="6"/>
      <c r="N453" s="6"/>
    </row>
    <row r="454" spans="1:14" ht="15" customHeight="1" x14ac:dyDescent="0.25">
      <c r="A454" t="str">
        <f t="shared" si="7"/>
        <v/>
      </c>
      <c r="B454" s="6"/>
      <c r="N454" s="6"/>
    </row>
    <row r="455" spans="1:14" ht="15" customHeight="1" x14ac:dyDescent="0.25">
      <c r="A455" t="str">
        <f t="shared" si="7"/>
        <v/>
      </c>
      <c r="B455" s="6"/>
      <c r="N455" s="6"/>
    </row>
    <row r="456" spans="1:14" ht="15" customHeight="1" x14ac:dyDescent="0.25">
      <c r="A456" t="str">
        <f t="shared" si="7"/>
        <v/>
      </c>
      <c r="B456" s="6"/>
      <c r="N456" s="6"/>
    </row>
    <row r="457" spans="1:14" ht="15" customHeight="1" x14ac:dyDescent="0.25">
      <c r="A457" t="str">
        <f t="shared" si="7"/>
        <v/>
      </c>
      <c r="B457" s="6"/>
      <c r="N457" s="6"/>
    </row>
    <row r="458" spans="1:14" ht="15" customHeight="1" x14ac:dyDescent="0.25">
      <c r="A458" t="str">
        <f t="shared" si="7"/>
        <v/>
      </c>
      <c r="B458" s="6"/>
      <c r="N458" s="6"/>
    </row>
    <row r="459" spans="1:14" ht="15" customHeight="1" x14ac:dyDescent="0.25">
      <c r="A459" t="str">
        <f t="shared" si="7"/>
        <v/>
      </c>
      <c r="B459" s="6"/>
      <c r="N459" s="6"/>
    </row>
    <row r="460" spans="1:14" ht="15" customHeight="1" x14ac:dyDescent="0.25">
      <c r="A460" t="str">
        <f t="shared" si="7"/>
        <v/>
      </c>
      <c r="B460" s="6"/>
      <c r="N460" s="6"/>
    </row>
    <row r="461" spans="1:14" ht="15" customHeight="1" x14ac:dyDescent="0.25">
      <c r="A461" t="str">
        <f t="shared" si="7"/>
        <v/>
      </c>
      <c r="B461" s="6"/>
      <c r="N461" s="6"/>
    </row>
    <row r="462" spans="1:14" ht="15" customHeight="1" x14ac:dyDescent="0.25">
      <c r="A462" t="str">
        <f t="shared" si="7"/>
        <v/>
      </c>
      <c r="B462" s="6"/>
      <c r="N462" s="6"/>
    </row>
    <row r="463" spans="1:14" ht="15" customHeight="1" x14ac:dyDescent="0.25">
      <c r="A463" t="str">
        <f t="shared" si="7"/>
        <v/>
      </c>
      <c r="B463" s="6"/>
      <c r="N463" s="6"/>
    </row>
    <row r="464" spans="1:14" ht="15" customHeight="1" x14ac:dyDescent="0.25">
      <c r="A464" t="str">
        <f t="shared" si="7"/>
        <v/>
      </c>
      <c r="B464" s="6"/>
      <c r="N464" s="6"/>
    </row>
    <row r="465" spans="1:14" ht="15" customHeight="1" x14ac:dyDescent="0.25">
      <c r="A465" t="str">
        <f t="shared" si="7"/>
        <v/>
      </c>
      <c r="B465" s="6"/>
      <c r="N465" s="6"/>
    </row>
    <row r="466" spans="1:14" ht="15" customHeight="1" x14ac:dyDescent="0.25">
      <c r="A466" t="str">
        <f t="shared" si="7"/>
        <v/>
      </c>
      <c r="B466" s="6"/>
      <c r="N466" s="6"/>
    </row>
    <row r="467" spans="1:14" ht="15" customHeight="1" x14ac:dyDescent="0.25">
      <c r="A467" t="str">
        <f t="shared" si="7"/>
        <v/>
      </c>
      <c r="B467" s="6"/>
      <c r="N467" s="6"/>
    </row>
    <row r="468" spans="1:14" ht="15" customHeight="1" x14ac:dyDescent="0.25">
      <c r="A468" t="str">
        <f t="shared" si="7"/>
        <v/>
      </c>
      <c r="B468" s="6"/>
      <c r="N468" s="6"/>
    </row>
    <row r="469" spans="1:14" ht="15" customHeight="1" x14ac:dyDescent="0.25">
      <c r="A469" t="str">
        <f t="shared" si="7"/>
        <v/>
      </c>
      <c r="B469" s="6"/>
      <c r="N469" s="6"/>
    </row>
    <row r="470" spans="1:14" ht="15" customHeight="1" x14ac:dyDescent="0.25">
      <c r="A470" t="str">
        <f t="shared" si="7"/>
        <v/>
      </c>
      <c r="B470" s="6"/>
      <c r="N470" s="6"/>
    </row>
    <row r="471" spans="1:14" ht="15" customHeight="1" x14ac:dyDescent="0.25">
      <c r="A471" t="str">
        <f t="shared" si="7"/>
        <v/>
      </c>
      <c r="B471" s="6"/>
      <c r="N471" s="6"/>
    </row>
    <row r="472" spans="1:14" ht="15" customHeight="1" x14ac:dyDescent="0.25">
      <c r="A472" t="str">
        <f t="shared" si="7"/>
        <v/>
      </c>
      <c r="B472" s="6"/>
      <c r="N472" s="6"/>
    </row>
    <row r="473" spans="1:14" ht="15" customHeight="1" x14ac:dyDescent="0.25">
      <c r="A473" t="str">
        <f t="shared" si="7"/>
        <v/>
      </c>
      <c r="B473" s="6"/>
      <c r="N473" s="6"/>
    </row>
    <row r="474" spans="1:14" ht="15" customHeight="1" x14ac:dyDescent="0.25">
      <c r="A474" t="str">
        <f t="shared" si="7"/>
        <v/>
      </c>
      <c r="B474" s="6"/>
      <c r="N474" s="6"/>
    </row>
    <row r="475" spans="1:14" ht="15" customHeight="1" x14ac:dyDescent="0.25">
      <c r="A475" t="str">
        <f t="shared" si="7"/>
        <v/>
      </c>
      <c r="B475" s="6"/>
      <c r="N475" s="6"/>
    </row>
    <row r="476" spans="1:14" ht="15" customHeight="1" x14ac:dyDescent="0.25">
      <c r="A476" t="str">
        <f t="shared" si="7"/>
        <v/>
      </c>
      <c r="B476" s="6"/>
      <c r="N476" s="6"/>
    </row>
    <row r="477" spans="1:14" ht="15" customHeight="1" x14ac:dyDescent="0.25">
      <c r="A477" t="str">
        <f t="shared" si="7"/>
        <v/>
      </c>
      <c r="B477" s="6"/>
      <c r="N477" s="6"/>
    </row>
    <row r="478" spans="1:14" ht="15" customHeight="1" x14ac:dyDescent="0.25">
      <c r="A478" t="str">
        <f t="shared" si="7"/>
        <v/>
      </c>
      <c r="B478" s="6"/>
      <c r="N478" s="6"/>
    </row>
    <row r="479" spans="1:14" ht="15" customHeight="1" x14ac:dyDescent="0.25">
      <c r="A479" t="str">
        <f t="shared" si="7"/>
        <v/>
      </c>
      <c r="B479" s="6"/>
      <c r="N479" s="6"/>
    </row>
    <row r="480" spans="1:14" ht="15" customHeight="1" x14ac:dyDescent="0.25">
      <c r="A480" t="str">
        <f t="shared" si="7"/>
        <v/>
      </c>
      <c r="B480" s="6"/>
      <c r="N480" s="6"/>
    </row>
    <row r="481" spans="1:14" ht="15" customHeight="1" x14ac:dyDescent="0.25">
      <c r="A481" t="str">
        <f t="shared" si="7"/>
        <v/>
      </c>
      <c r="B481" s="6"/>
      <c r="N481" s="6"/>
    </row>
    <row r="482" spans="1:14" ht="15" customHeight="1" x14ac:dyDescent="0.25">
      <c r="A482" t="str">
        <f t="shared" si="7"/>
        <v/>
      </c>
      <c r="B482" s="6"/>
      <c r="N482" s="6"/>
    </row>
    <row r="483" spans="1:14" ht="15" customHeight="1" x14ac:dyDescent="0.25">
      <c r="A483" t="str">
        <f t="shared" si="7"/>
        <v/>
      </c>
      <c r="B483" s="6"/>
      <c r="N483" s="6"/>
    </row>
    <row r="484" spans="1:14" ht="15" customHeight="1" x14ac:dyDescent="0.25">
      <c r="A484" t="str">
        <f t="shared" si="7"/>
        <v/>
      </c>
      <c r="B484" s="6"/>
      <c r="N484" s="6"/>
    </row>
    <row r="485" spans="1:14" ht="15" customHeight="1" x14ac:dyDescent="0.25">
      <c r="A485" t="str">
        <f t="shared" si="7"/>
        <v/>
      </c>
      <c r="B485" s="6"/>
      <c r="N485" s="6"/>
    </row>
    <row r="486" spans="1:14" ht="15" customHeight="1" x14ac:dyDescent="0.25">
      <c r="A486" t="str">
        <f t="shared" si="7"/>
        <v/>
      </c>
      <c r="B486" s="6"/>
      <c r="N486" s="6"/>
    </row>
    <row r="487" spans="1:14" ht="15" customHeight="1" x14ac:dyDescent="0.25">
      <c r="A487" t="str">
        <f t="shared" si="7"/>
        <v/>
      </c>
      <c r="B487" s="6"/>
      <c r="N487" s="6"/>
    </row>
    <row r="488" spans="1:14" ht="15" customHeight="1" x14ac:dyDescent="0.25">
      <c r="A488" t="str">
        <f t="shared" si="7"/>
        <v/>
      </c>
      <c r="B488" s="6"/>
      <c r="N488" s="6"/>
    </row>
    <row r="489" spans="1:14" ht="15" customHeight="1" x14ac:dyDescent="0.25">
      <c r="A489" t="str">
        <f t="shared" si="7"/>
        <v/>
      </c>
      <c r="B489" s="6"/>
      <c r="N489" s="6"/>
    </row>
    <row r="490" spans="1:14" ht="15" customHeight="1" x14ac:dyDescent="0.25">
      <c r="A490" t="str">
        <f t="shared" si="7"/>
        <v/>
      </c>
      <c r="B490" s="6"/>
      <c r="N490" s="6"/>
    </row>
    <row r="491" spans="1:14" ht="15" customHeight="1" x14ac:dyDescent="0.25">
      <c r="A491" t="str">
        <f t="shared" si="7"/>
        <v/>
      </c>
      <c r="B491" s="6"/>
      <c r="N491" s="6"/>
    </row>
    <row r="492" spans="1:14" ht="15" customHeight="1" x14ac:dyDescent="0.25">
      <c r="A492" t="str">
        <f t="shared" si="7"/>
        <v/>
      </c>
      <c r="B492" s="6"/>
      <c r="N492" s="6"/>
    </row>
    <row r="493" spans="1:14" ht="15" customHeight="1" x14ac:dyDescent="0.25">
      <c r="A493" t="str">
        <f t="shared" si="7"/>
        <v/>
      </c>
      <c r="B493" s="6"/>
      <c r="N493" s="6"/>
    </row>
    <row r="494" spans="1:14" ht="15" customHeight="1" x14ac:dyDescent="0.25">
      <c r="A494" t="str">
        <f t="shared" si="7"/>
        <v/>
      </c>
      <c r="B494" s="6"/>
      <c r="N494" s="6"/>
    </row>
    <row r="495" spans="1:14" ht="15" customHeight="1" x14ac:dyDescent="0.25">
      <c r="A495" t="str">
        <f t="shared" si="7"/>
        <v/>
      </c>
      <c r="B495" s="6"/>
      <c r="N495" s="6"/>
    </row>
    <row r="496" spans="1:14" ht="15" customHeight="1" x14ac:dyDescent="0.25">
      <c r="A496" t="str">
        <f t="shared" si="7"/>
        <v/>
      </c>
      <c r="B496" s="6"/>
      <c r="N496" s="6"/>
    </row>
    <row r="497" spans="1:14" ht="15" customHeight="1" x14ac:dyDescent="0.25">
      <c r="A497" t="str">
        <f t="shared" si="7"/>
        <v/>
      </c>
      <c r="B497" s="6"/>
      <c r="N497" s="6"/>
    </row>
    <row r="498" spans="1:14" ht="15" customHeight="1" x14ac:dyDescent="0.25">
      <c r="A498" t="str">
        <f t="shared" si="7"/>
        <v/>
      </c>
      <c r="B498" s="6"/>
      <c r="N498" s="6"/>
    </row>
    <row r="499" spans="1:14" ht="15" customHeight="1" x14ac:dyDescent="0.25">
      <c r="A499" t="str">
        <f t="shared" si="7"/>
        <v/>
      </c>
      <c r="B499" s="6"/>
      <c r="N499" s="6"/>
    </row>
    <row r="500" spans="1:14" ht="15" customHeight="1" x14ac:dyDescent="0.25">
      <c r="A500" t="str">
        <f t="shared" si="7"/>
        <v/>
      </c>
      <c r="B500" s="6"/>
      <c r="N500" s="6"/>
    </row>
  </sheetData>
  <dataValidations count="5">
    <dataValidation type="list" allowBlank="1" sqref="F2:F500" xr:uid="{00000000-0002-0000-0000-000000000000}">
      <formula1>"Real Estate Broker,Investor,Banker,Lawyer,Notary,Accountant,Developer,Property Manager,Other"</formula1>
      <formula2>0</formula2>
    </dataValidation>
    <dataValidation type="list" allowBlank="1" sqref="K2:L500" xr:uid="{00000000-0002-0000-0000-000001000000}">
      <formula1>"Yes,No"</formula1>
      <formula2>0</formula2>
    </dataValidation>
    <dataValidation type="list" allowBlank="1" sqref="M2:M3 M5:M500" xr:uid="{00000000-0002-0000-0000-000003000000}">
      <formula1>"Insufficient Funds/Equity,Not Serious/Just Browsing,Wrong Deal Size or Type,Timing Not Ready,Unreachable,Other"</formula1>
      <formula2>0</formula2>
    </dataValidation>
    <dataValidation type="list" allowBlank="1" sqref="G2:G500" xr:uid="{00000000-0002-0000-0000-000004000000}">
      <formula1>"Instagram Ad,COI Referral,Referral,Property Listing,Cold Outreach,LinkedIn,Networking Event,Past Client/Contact,Other"</formula1>
      <formula2>0</formula2>
    </dataValidation>
    <dataValidation type="list" allowBlank="1" sqref="M4" xr:uid="{CC6E5507-5BC0-43C7-9454-07A5F30009EA}">
      <formula1>"Insufficient Funds/Equity,Residential,Not Serious/Just Browsing,Wrong Deal Size or Type,Timing Not Ready,Unreachable,Other"</formula1>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showGridLines="0" zoomScaleNormal="100" workbookViewId="0"/>
  </sheetViews>
  <sheetFormatPr defaultColWidth="8.7109375" defaultRowHeight="15" x14ac:dyDescent="0.25"/>
  <cols>
    <col min="1" max="1" width="18" customWidth="1"/>
    <col min="2" max="5" width="16" customWidth="1"/>
  </cols>
  <sheetData>
    <row r="1" spans="1:5" ht="17.25" customHeight="1" x14ac:dyDescent="0.25">
      <c r="A1" s="7" t="s">
        <v>533</v>
      </c>
    </row>
    <row r="2" spans="1:5" ht="15" customHeight="1" x14ac:dyDescent="0.25">
      <c r="A2" s="8" t="s">
        <v>534</v>
      </c>
      <c r="C2" s="9">
        <v>25</v>
      </c>
    </row>
    <row r="4" spans="1:5" ht="26.25" customHeight="1" x14ac:dyDescent="0.25">
      <c r="A4" s="1" t="s">
        <v>0</v>
      </c>
      <c r="B4" s="1" t="s">
        <v>535</v>
      </c>
      <c r="C4" s="1" t="s">
        <v>536</v>
      </c>
      <c r="D4" s="1" t="s">
        <v>537</v>
      </c>
      <c r="E4" s="1" t="s">
        <v>538</v>
      </c>
    </row>
    <row r="5" spans="1:5" ht="15" customHeight="1" x14ac:dyDescent="0.25">
      <c r="A5" s="2" t="s">
        <v>539</v>
      </c>
      <c r="B5" s="2">
        <f>COUNTIF('Lead Log'!$A:$A,A5)</f>
        <v>23</v>
      </c>
      <c r="C5" s="2">
        <f>COUNTIFS('Lead Log'!$A:$A,A5,'Lead Log'!$K:$K,"Yes")</f>
        <v>20</v>
      </c>
      <c r="D5" s="10">
        <f t="shared" ref="D5:D13" si="0">IFERROR(C5/B5,0)</f>
        <v>0.86956521739130432</v>
      </c>
      <c r="E5" s="2" t="str">
        <f t="shared" ref="E5:E13" si="1">IF(C5&gt;=$C$2,"Yes","No")</f>
        <v>No</v>
      </c>
    </row>
    <row r="6" spans="1:5" ht="15" customHeight="1" x14ac:dyDescent="0.25">
      <c r="A6" s="2" t="s">
        <v>540</v>
      </c>
      <c r="B6" s="2">
        <f>COUNTIF('Lead Log'!$A:$A,A6)</f>
        <v>31</v>
      </c>
      <c r="C6" s="2">
        <f>COUNTIFS('Lead Log'!$A:$A,A6,'Lead Log'!$K:$K,"Yes")</f>
        <v>22</v>
      </c>
      <c r="D6" s="10">
        <f t="shared" si="0"/>
        <v>0.70967741935483875</v>
      </c>
      <c r="E6" s="2" t="str">
        <f t="shared" si="1"/>
        <v>No</v>
      </c>
    </row>
    <row r="7" spans="1:5" ht="15" customHeight="1" x14ac:dyDescent="0.25">
      <c r="A7" s="2" t="s">
        <v>541</v>
      </c>
      <c r="B7" s="2">
        <f>COUNTIF('Lead Log'!$A:$A,A7)</f>
        <v>33</v>
      </c>
      <c r="C7" s="2">
        <f>COUNTIFS('Lead Log'!$A:$A,A7,'Lead Log'!$K:$K,"Yes")</f>
        <v>25</v>
      </c>
      <c r="D7" s="10">
        <f t="shared" si="0"/>
        <v>0.75757575757575757</v>
      </c>
      <c r="E7" s="2" t="str">
        <f t="shared" si="1"/>
        <v>Yes</v>
      </c>
    </row>
    <row r="8" spans="1:5" ht="15" customHeight="1" x14ac:dyDescent="0.25">
      <c r="A8" s="2" t="s">
        <v>542</v>
      </c>
      <c r="B8" s="2">
        <f>COUNTIF('Lead Log'!$A:$A,A8)</f>
        <v>12</v>
      </c>
      <c r="C8" s="2">
        <f>COUNTIFS('Lead Log'!$A:$A,A8,'Lead Log'!$K:$K,"Yes")</f>
        <v>12</v>
      </c>
      <c r="D8" s="10">
        <f t="shared" si="0"/>
        <v>1</v>
      </c>
      <c r="E8" s="2" t="str">
        <f t="shared" si="1"/>
        <v>No</v>
      </c>
    </row>
    <row r="9" spans="1:5" ht="15" customHeight="1" x14ac:dyDescent="0.25">
      <c r="A9" s="2" t="s">
        <v>543</v>
      </c>
      <c r="B9" s="2">
        <f>COUNTIF('Lead Log'!$A:$A,A9)</f>
        <v>17</v>
      </c>
      <c r="C9" s="2">
        <f>COUNTIFS('Lead Log'!$A:$A,A9,'Lead Log'!$K:$K,"Yes")</f>
        <v>17</v>
      </c>
      <c r="D9" s="10">
        <f t="shared" si="0"/>
        <v>1</v>
      </c>
      <c r="E9" s="2" t="str">
        <f t="shared" si="1"/>
        <v>No</v>
      </c>
    </row>
    <row r="10" spans="1:5" ht="15" customHeight="1" x14ac:dyDescent="0.25">
      <c r="A10" s="2" t="s">
        <v>544</v>
      </c>
      <c r="B10" s="2">
        <f>COUNTIF('Lead Log'!$A:$A,A10)</f>
        <v>27</v>
      </c>
      <c r="C10" s="2">
        <f>COUNTIFS('Lead Log'!$A:$A,A10,'Lead Log'!$K:$K,"Yes")</f>
        <v>25</v>
      </c>
      <c r="D10" s="10">
        <f t="shared" si="0"/>
        <v>0.92592592592592593</v>
      </c>
      <c r="E10" s="2" t="str">
        <f t="shared" si="1"/>
        <v>Yes</v>
      </c>
    </row>
    <row r="11" spans="1:5" ht="15" customHeight="1" x14ac:dyDescent="0.25">
      <c r="A11" s="2" t="s">
        <v>545</v>
      </c>
      <c r="B11" s="2">
        <f>COUNTIF('Lead Log'!$A:$A,A11)</f>
        <v>31</v>
      </c>
      <c r="C11" s="2">
        <f>COUNTIFS('Lead Log'!$A:$A,A11,'Lead Log'!$K:$K,"Yes")</f>
        <v>25</v>
      </c>
      <c r="D11" s="10">
        <f t="shared" si="0"/>
        <v>0.80645161290322576</v>
      </c>
      <c r="E11" s="2" t="str">
        <f t="shared" si="1"/>
        <v>Yes</v>
      </c>
    </row>
    <row r="12" spans="1:5" ht="15" customHeight="1" x14ac:dyDescent="0.25">
      <c r="A12" s="2" t="s">
        <v>546</v>
      </c>
      <c r="B12" s="2">
        <f>COUNTIF('Lead Log'!$A:$A,A12)</f>
        <v>10</v>
      </c>
      <c r="C12" s="2">
        <f>COUNTIFS('Lead Log'!$A:$A,A12,'Lead Log'!$K:$K,"Yes")</f>
        <v>1</v>
      </c>
      <c r="D12" s="10">
        <f t="shared" si="0"/>
        <v>0.1</v>
      </c>
      <c r="E12" s="2" t="str">
        <f t="shared" si="1"/>
        <v>No</v>
      </c>
    </row>
    <row r="13" spans="1:5" ht="15" customHeight="1" x14ac:dyDescent="0.25">
      <c r="A13" s="2" t="s">
        <v>547</v>
      </c>
      <c r="B13" s="2">
        <f>COUNTIF('Lead Log'!$A:$A,A13)</f>
        <v>0</v>
      </c>
      <c r="C13" s="2">
        <f>COUNTIFS('Lead Log'!$A:$A,A13,'Lead Log'!$K:$K,"Yes")</f>
        <v>0</v>
      </c>
      <c r="D13" s="10">
        <f t="shared" si="0"/>
        <v>0</v>
      </c>
      <c r="E13" s="2" t="str">
        <f t="shared" si="1"/>
        <v>No</v>
      </c>
    </row>
    <row r="15" spans="1:5" ht="15" customHeight="1" x14ac:dyDescent="0.25">
      <c r="A15" s="11" t="s">
        <v>548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Lead Log</vt:lpstr>
      <vt:lpstr>Weekly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Sina Darvishi</cp:lastModifiedBy>
  <cp:revision>0</cp:revision>
  <dcterms:created xsi:type="dcterms:W3CDTF">2026-08-17T18:19:43Z</dcterms:created>
  <dcterms:modified xsi:type="dcterms:W3CDTF">2026-08-19T18:25:10Z</dcterms:modified>
  <dc:language>en-US</dc:language>
</cp:coreProperties>
</file>